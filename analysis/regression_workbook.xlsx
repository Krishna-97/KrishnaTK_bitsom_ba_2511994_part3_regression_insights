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.K.KRISHNA\BITS Business Analytics and AI Course\Assignments\Capstone project\part-3\"/>
    </mc:Choice>
  </mc:AlternateContent>
  <xr:revisionPtr revIDLastSave="0" documentId="13_ncr:1_{D9F43C4F-DC78-41C5-B661-F8371FA9F1F0}" xr6:coauthVersionLast="47" xr6:coauthVersionMax="47" xr10:uidLastSave="{00000000-0000-0000-0000-000000000000}"/>
  <bookViews>
    <workbookView xWindow="-90" yWindow="0" windowWidth="9780" windowHeight="10170" firstSheet="4" activeTab="4" xr2:uid="{9D37A183-EA46-4C4E-9F97-13F533CB99BD}"/>
  </bookViews>
  <sheets>
    <sheet name="Data" sheetId="1" r:id="rId1"/>
    <sheet name="Cleaned_Data" sheetId="2" r:id="rId2"/>
    <sheet name="Simple_Reg1(Marketing spend)" sheetId="16" r:id="rId3"/>
    <sheet name="Simple_Reg2(Football)" sheetId="17" r:id="rId4"/>
    <sheet name="Multiple Regression" sheetId="18" r:id="rId5"/>
  </sheets>
  <definedNames>
    <definedName name="_xlnm._FilterDatabase" localSheetId="1" hidden="1">Cleaned_Data!$A$1:$E$321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1" i="2" l="1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<sst xmlns="http://schemas.openxmlformats.org/spreadsheetml/2006/main" count="2045" uniqueCount="134">
  <si>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</si>
  <si>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</si>
  <si>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</si>
  <si>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</si>
  <si>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</si>
  <si>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</si>
  <si>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</si>
  <si>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</si>
  <si>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</si>
  <si>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</si>
  <si>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</si>
  <si>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</si>
  <si>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</si>
  <si>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</si>
  <si>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</si>
  <si>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</si>
  <si>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</si>
  <si>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</si>
  <si>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</si>
  <si>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</si>
  <si>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</si>
  <si>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</si>
  <si>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</si>
  <si>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</si>
  <si>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</si>
  <si>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</si>
  <si>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</si>
  <si>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</si>
  <si>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</si>
  <si>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</si>
  <si>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</si>
  <si>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</si>
  <si>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</si>
  <si>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</si>
  <si>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</si>
  <si>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</si>
  <si>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</si>
  <si>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</si>
  <si>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</si>
  <si>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</si>
  <si>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</si>
  <si>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</si>
  <si>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</si>
  <si>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</si>
  <si>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</si>
  <si>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</si>
  <si>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</si>
  <si>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</si>
  <si>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</si>
  <si>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</si>
  <si>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</si>
  <si>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</si>
  <si>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</si>
  <si>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</si>
  <si>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</si>
  <si>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</si>
  <si>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</si>
  <si>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</si>
  <si>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</si>
  <si>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</si>
  <si>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</si>
  <si>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</si>
  <si>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</si>
  <si>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</si>
  <si>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</si>
  <si>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</si>
  <si>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</si>
  <si>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</si>
  <si>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</si>
  <si>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</si>
  <si>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</si>
  <si>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</si>
  <si>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</si>
  <si>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</si>
  <si>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</si>
  <si>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</si>
  <si>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</si>
  <si>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</si>
  <si>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</si>
  <si>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</si>
  <si>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</si>
  <si>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</si>
  <si>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</si>
  <si>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</si>
  <si>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</si>
  <si>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</si>
  <si>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</si>
  <si>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</si>
  <si>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</si>
  <si>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</si>
  <si>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</si>
  <si>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</si>
  <si>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</si>
  <si>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</si>
  <si>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</si>
  <si>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</si>
  <si>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</si>
  <si>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</si>
  <si>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</si>
  <si>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</si>
  <si>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</si>
  <si>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</si>
  <si>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</si>
  <si>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</si>
  <si>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</si>
  <si>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</si>
  <si>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</si>
  <si>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</si>
  <si>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</si>
  <si>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</si>
  <si>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</si>
  <si>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</si>
  <si>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</si>
  <si>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</si>
  <si>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</si>
  <si>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</si>
  <si>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</si>
  <si>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</si>
  <si>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</si>
  <si>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</si>
  <si>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</si>
  <si>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</si>
  <si>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</si>
  <si>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</si>
  <si>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</si>
  <si>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</si>
  <si>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</si>
  <si>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</si>
  <si>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</si>
  <si>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</si>
  <si>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if Residential(dummy)</t>
  </si>
  <si>
    <t>if High Street(dummy)</t>
  </si>
  <si>
    <t>if Airport(dummy)</t>
  </si>
  <si>
    <t>if Mall(dummy)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</si>
</sst>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EF4E-F1B3-47D2-AB44-BEAA27CB84CC}">
  <dimension ref="A1:N321"/>
  <sheetViews>
    <sheetView workbookViewId="0">
      <selection sqref="A1:N321"/>
    </sheetView>
  </sheetViews>
  <sheetFormatPr defaultRowHeight="14.5"/>
  <cols>
    <col min="1" max="14" width="17.453125" customWidth="1"/>
  </cols>
  <sheetData>
    <row r="1" spans="1:14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A559-01F5-4912-B8E4-39DE0FDF5A1D}">
  <dimension ref="A1:R321"/>
  <sheetViews>
    <sheetView topLeftCell="H1" workbookViewId="0">
      <selection activeCell="R1" sqref="R1:R2"/>
    </sheetView>
  </sheetViews>
  <sheetFormatPr defaultRowHeight="14.5"/>
  <cols>
    <col min="1" max="14" width="17.453125" customWidth="1"/>
  </cols>
  <sheetData>
    <row r="1" spans="1:18" ht="42">
      <c r="A1" s="1" t="s">
        <v>0</v>
      </c>
      <c r="B1" s="1" t="s">
        <v>1</v>
      </c>
      <c r="C1" s="1" t="s">
        <v>2</v>
      </c>
      <c r="D1" s="1" t="s">
        <v>3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>
      <c r="A2" s="3" t="s">
        <v>14</v>
      </c>
      <c r="B2" s="2">
        <v>45658</v>
      </c>
      <c r="C2" t="s">
        <v>15</v>
      </c>
      <c r="D2" t="s">
        <v>16</v>
      </c>
      <c r="E2">
        <f>IF(D2="Residential",1,0)</f>
        <v>1</v>
      </c>
      <c r="F2">
        <f>IF($D2="High street",1,0)</f>
        <v>0</v>
      </c>
      <c r="G2">
        <f>IF($D2="Airport",1,0)</f>
        <v>0</v>
      </c>
      <c r="H2">
        <f>IF($D2="Mall",1,0)</f>
        <v>0</v>
      </c>
      <c r="I2">
        <v>70389.11</v>
      </c>
      <c r="J2">
        <v>8302</v>
      </c>
      <c r="K2">
        <v>4.2000000000000003E-2</v>
      </c>
      <c r="L2">
        <v>17</v>
      </c>
      <c r="M2">
        <v>75</v>
      </c>
      <c r="N2">
        <v>5.28</v>
      </c>
      <c r="O2">
        <v>1</v>
      </c>
      <c r="P2">
        <v>3.1</v>
      </c>
      <c r="Q2">
        <v>658832.62</v>
      </c>
      <c r="R2">
        <v>84349.93</v>
      </c>
    </row>
    <row r="3" spans="1:18">
      <c r="A3" s="3" t="s">
        <v>14</v>
      </c>
      <c r="B3" s="2">
        <v>45689</v>
      </c>
      <c r="C3" t="s">
        <v>15</v>
      </c>
      <c r="D3" t="s">
        <v>16</v>
      </c>
      <c r="E3">
        <f>IF(D3="Residential",1,0)</f>
        <v>1</v>
      </c>
      <c r="F3">
        <f t="shared" ref="F3:T66" si="0">IF($D3="High street",1,0)</f>
        <v>0</v>
      </c>
      <c r="G3">
        <f t="shared" ref="G3:U66" si="1">IF($D3="Airport",1,0)</f>
        <v>0</v>
      </c>
      <c r="H3">
        <f t="shared" ref="H3:V66" si="2">IF($D3="Mall",1,0)</f>
        <v>0</v>
      </c>
      <c r="I3">
        <v>43827.89</v>
      </c>
      <c r="J3">
        <v>8487</v>
      </c>
      <c r="K3">
        <v>0.16800000000000001</v>
      </c>
      <c r="L3">
        <v>23</v>
      </c>
      <c r="M3">
        <v>84.4</v>
      </c>
      <c r="N3">
        <v>4.3099999999999996</v>
      </c>
      <c r="O3">
        <v>0</v>
      </c>
      <c r="P3">
        <v>2.8</v>
      </c>
      <c r="Q3">
        <v>634436</v>
      </c>
      <c r="R3">
        <v>106130.54</v>
      </c>
    </row>
    <row r="4" spans="1:18">
      <c r="A4" s="3" t="s">
        <v>14</v>
      </c>
      <c r="B4" s="2">
        <v>45717</v>
      </c>
      <c r="C4" t="s">
        <v>15</v>
      </c>
      <c r="D4" t="s">
        <v>16</v>
      </c>
      <c r="E4">
        <f>IF(D4="Residential",1,0)</f>
        <v>1</v>
      </c>
      <c r="F4">
        <f t="shared" si="0"/>
        <v>0</v>
      </c>
      <c r="G4">
        <f t="shared" si="1"/>
        <v>0</v>
      </c>
      <c r="H4">
        <f t="shared" si="2"/>
        <v>0</v>
      </c>
      <c r="I4">
        <v>59921.75</v>
      </c>
      <c r="J4">
        <v>9113</v>
      </c>
      <c r="K4">
        <v>0.13300000000000001</v>
      </c>
      <c r="L4">
        <v>20</v>
      </c>
      <c r="M4">
        <v>88</v>
      </c>
      <c r="N4">
        <v>12</v>
      </c>
      <c r="O4">
        <v>0</v>
      </c>
      <c r="P4">
        <v>3.2</v>
      </c>
      <c r="Q4">
        <v>678722.06</v>
      </c>
      <c r="R4">
        <v>101883.86</v>
      </c>
    </row>
    <row r="5" spans="1:18">
      <c r="A5" s="3" t="s">
        <v>14</v>
      </c>
      <c r="B5" s="2">
        <v>45748</v>
      </c>
      <c r="C5" t="s">
        <v>15</v>
      </c>
      <c r="D5" t="s">
        <v>16</v>
      </c>
      <c r="E5">
        <f>IF(D5="Residential",1,0)</f>
        <v>1</v>
      </c>
      <c r="F5">
        <f t="shared" si="0"/>
        <v>0</v>
      </c>
      <c r="G5">
        <f t="shared" si="1"/>
        <v>0</v>
      </c>
      <c r="H5">
        <f t="shared" si="2"/>
        <v>0</v>
      </c>
      <c r="I5">
        <v>56856.63</v>
      </c>
      <c r="J5">
        <v>9431</v>
      </c>
      <c r="K5">
        <v>0.14199999999999999</v>
      </c>
      <c r="L5">
        <v>23</v>
      </c>
      <c r="M5">
        <v>86.9</v>
      </c>
      <c r="N5">
        <v>4.97</v>
      </c>
      <c r="O5">
        <v>0</v>
      </c>
      <c r="P5">
        <v>3.4</v>
      </c>
      <c r="Q5">
        <v>658920.30000000005</v>
      </c>
      <c r="R5">
        <v>97910.37</v>
      </c>
    </row>
    <row r="6" spans="1:18">
      <c r="A6" s="3" t="s">
        <v>17</v>
      </c>
      <c r="B6" s="2">
        <v>45658</v>
      </c>
      <c r="C6" t="s">
        <v>15</v>
      </c>
      <c r="D6" t="s">
        <v>18</v>
      </c>
      <c r="E6">
        <f>IF(D6="Residential",1,0)</f>
        <v>0</v>
      </c>
      <c r="F6">
        <f t="shared" si="0"/>
        <v>1</v>
      </c>
      <c r="G6">
        <f t="shared" si="1"/>
        <v>0</v>
      </c>
      <c r="H6">
        <f t="shared" si="2"/>
        <v>0</v>
      </c>
      <c r="I6">
        <v>48412.639999999999</v>
      </c>
      <c r="J6">
        <v>9545</v>
      </c>
      <c r="K6">
        <v>0.23100000000000001</v>
      </c>
      <c r="L6">
        <v>21</v>
      </c>
      <c r="M6">
        <v>97.6</v>
      </c>
      <c r="N6">
        <v>6.94</v>
      </c>
      <c r="O6">
        <v>1</v>
      </c>
      <c r="P6">
        <v>4.2</v>
      </c>
      <c r="Q6">
        <v>741341.44</v>
      </c>
      <c r="R6">
        <v>119208.17</v>
      </c>
    </row>
    <row r="7" spans="1:18">
      <c r="A7" s="3" t="s">
        <v>17</v>
      </c>
      <c r="B7" s="2">
        <v>45689</v>
      </c>
      <c r="C7" t="s">
        <v>15</v>
      </c>
      <c r="D7" t="s">
        <v>18</v>
      </c>
      <c r="E7">
        <f>IF(D7="Residential",1,0)</f>
        <v>0</v>
      </c>
      <c r="F7">
        <f t="shared" si="0"/>
        <v>1</v>
      </c>
      <c r="G7">
        <f t="shared" si="1"/>
        <v>0</v>
      </c>
      <c r="H7">
        <f t="shared" si="2"/>
        <v>0</v>
      </c>
      <c r="I7">
        <v>64811.21</v>
      </c>
      <c r="J7">
        <v>9792</v>
      </c>
      <c r="K7">
        <v>0.112</v>
      </c>
      <c r="L7">
        <v>20</v>
      </c>
      <c r="M7">
        <v>84.2</v>
      </c>
      <c r="N7">
        <v>2.88</v>
      </c>
      <c r="O7">
        <v>0</v>
      </c>
      <c r="P7">
        <v>4.2</v>
      </c>
      <c r="Q7">
        <v>761835.34</v>
      </c>
      <c r="R7">
        <v>149602.23000000001</v>
      </c>
    </row>
    <row r="8" spans="1:18">
      <c r="A8" s="3" t="s">
        <v>17</v>
      </c>
      <c r="B8" s="2">
        <v>45717</v>
      </c>
      <c r="C8" t="s">
        <v>15</v>
      </c>
      <c r="D8" t="s">
        <v>18</v>
      </c>
      <c r="E8">
        <f>IF(D8="Residential",1,0)</f>
        <v>0</v>
      </c>
      <c r="F8">
        <f t="shared" si="0"/>
        <v>1</v>
      </c>
      <c r="G8">
        <f t="shared" si="1"/>
        <v>0</v>
      </c>
      <c r="H8">
        <f t="shared" si="2"/>
        <v>0</v>
      </c>
      <c r="I8">
        <v>46213.45</v>
      </c>
      <c r="J8">
        <v>10616</v>
      </c>
      <c r="K8">
        <v>0.122</v>
      </c>
      <c r="L8">
        <v>22</v>
      </c>
      <c r="M8">
        <v>85.2</v>
      </c>
      <c r="N8">
        <v>0.2</v>
      </c>
      <c r="O8">
        <v>1</v>
      </c>
      <c r="P8">
        <v>4.0999999999999996</v>
      </c>
      <c r="Q8">
        <v>806615.54</v>
      </c>
      <c r="R8">
        <v>131364.62</v>
      </c>
    </row>
    <row r="9" spans="1:18">
      <c r="A9" s="3" t="s">
        <v>17</v>
      </c>
      <c r="B9" s="2">
        <v>45748</v>
      </c>
      <c r="C9" t="s">
        <v>15</v>
      </c>
      <c r="D9" t="s">
        <v>18</v>
      </c>
      <c r="E9">
        <f>IF(D9="Residential",1,0)</f>
        <v>0</v>
      </c>
      <c r="F9">
        <f t="shared" si="0"/>
        <v>1</v>
      </c>
      <c r="G9">
        <f t="shared" si="1"/>
        <v>0</v>
      </c>
      <c r="H9">
        <f t="shared" si="2"/>
        <v>0</v>
      </c>
      <c r="I9">
        <v>68148.52</v>
      </c>
      <c r="J9">
        <v>8567</v>
      </c>
      <c r="K9">
        <v>0.127</v>
      </c>
      <c r="L9">
        <v>23</v>
      </c>
      <c r="M9">
        <v>95.6</v>
      </c>
      <c r="N9">
        <v>0.8</v>
      </c>
      <c r="O9">
        <v>0</v>
      </c>
      <c r="P9">
        <v>3.9</v>
      </c>
      <c r="Q9">
        <v>850164.26</v>
      </c>
      <c r="R9">
        <v>149262.75</v>
      </c>
    </row>
    <row r="10" spans="1:18">
      <c r="A10" s="3" t="s">
        <v>19</v>
      </c>
      <c r="B10" s="2">
        <v>45658</v>
      </c>
      <c r="C10" t="s">
        <v>20</v>
      </c>
      <c r="D10" t="s">
        <v>21</v>
      </c>
      <c r="E10">
        <f>IF(D10="Residential",1,0)</f>
        <v>0</v>
      </c>
      <c r="F10">
        <f t="shared" si="0"/>
        <v>0</v>
      </c>
      <c r="G10">
        <f t="shared" si="1"/>
        <v>1</v>
      </c>
      <c r="H10">
        <f t="shared" si="2"/>
        <v>0</v>
      </c>
      <c r="I10">
        <v>71838.86</v>
      </c>
      <c r="J10">
        <v>10979</v>
      </c>
      <c r="K10">
        <v>0.215</v>
      </c>
      <c r="L10">
        <v>26</v>
      </c>
      <c r="M10">
        <v>88.6</v>
      </c>
      <c r="N10">
        <v>7.7</v>
      </c>
      <c r="O10">
        <v>1</v>
      </c>
      <c r="P10">
        <v>3.8</v>
      </c>
      <c r="Q10">
        <v>930581.7</v>
      </c>
      <c r="R10">
        <v>136207.98000000001</v>
      </c>
    </row>
    <row r="11" spans="1:18">
      <c r="A11" s="3" t="s">
        <v>19</v>
      </c>
      <c r="B11" s="2">
        <v>45689</v>
      </c>
      <c r="C11" t="s">
        <v>20</v>
      </c>
      <c r="D11" t="s">
        <v>21</v>
      </c>
      <c r="E11">
        <f>IF(D11="Residential",1,0)</f>
        <v>0</v>
      </c>
      <c r="F11">
        <f t="shared" si="0"/>
        <v>0</v>
      </c>
      <c r="G11">
        <f t="shared" si="1"/>
        <v>1</v>
      </c>
      <c r="H11">
        <f t="shared" si="2"/>
        <v>0</v>
      </c>
      <c r="I11">
        <v>68133.440000000002</v>
      </c>
      <c r="J11">
        <v>9459</v>
      </c>
      <c r="K11">
        <v>0.22</v>
      </c>
      <c r="L11">
        <v>21</v>
      </c>
      <c r="M11">
        <v>85</v>
      </c>
      <c r="N11">
        <v>1.91</v>
      </c>
      <c r="O11">
        <v>0</v>
      </c>
      <c r="P11">
        <v>4.2</v>
      </c>
      <c r="Q11">
        <v>779010.94</v>
      </c>
      <c r="R11">
        <v>106328.09</v>
      </c>
    </row>
    <row r="12" spans="1:18">
      <c r="A12" s="3" t="s">
        <v>19</v>
      </c>
      <c r="B12" s="2">
        <v>45717</v>
      </c>
      <c r="C12" t="s">
        <v>20</v>
      </c>
      <c r="D12" t="s">
        <v>21</v>
      </c>
      <c r="E12">
        <f>IF(D12="Residential",1,0)</f>
        <v>0</v>
      </c>
      <c r="F12">
        <f t="shared" si="0"/>
        <v>0</v>
      </c>
      <c r="G12">
        <f t="shared" si="1"/>
        <v>1</v>
      </c>
      <c r="H12">
        <f t="shared" si="2"/>
        <v>0</v>
      </c>
      <c r="I12">
        <v>34285.21</v>
      </c>
      <c r="J12">
        <v>9172</v>
      </c>
      <c r="K12">
        <v>0.21299999999999999</v>
      </c>
      <c r="L12">
        <v>22</v>
      </c>
      <c r="M12">
        <v>88.3</v>
      </c>
      <c r="N12">
        <v>10.46</v>
      </c>
      <c r="O12">
        <v>1</v>
      </c>
      <c r="P12">
        <v>3.8</v>
      </c>
      <c r="Q12">
        <v>723060.76</v>
      </c>
      <c r="R12">
        <v>123131.24</v>
      </c>
    </row>
    <row r="13" spans="1:18">
      <c r="A13" s="3" t="s">
        <v>19</v>
      </c>
      <c r="B13" s="2">
        <v>45748</v>
      </c>
      <c r="C13" t="s">
        <v>20</v>
      </c>
      <c r="D13" t="s">
        <v>21</v>
      </c>
      <c r="E13">
        <f>IF(D13="Residential",1,0)</f>
        <v>0</v>
      </c>
      <c r="F13">
        <f t="shared" si="0"/>
        <v>0</v>
      </c>
      <c r="G13">
        <f t="shared" si="1"/>
        <v>1</v>
      </c>
      <c r="H13">
        <f t="shared" si="2"/>
        <v>0</v>
      </c>
      <c r="I13">
        <v>67979.88</v>
      </c>
      <c r="J13">
        <v>11230</v>
      </c>
      <c r="K13">
        <v>2E-3</v>
      </c>
      <c r="L13">
        <v>28</v>
      </c>
      <c r="M13">
        <v>85.3</v>
      </c>
      <c r="N13">
        <v>7.16</v>
      </c>
      <c r="O13">
        <v>0</v>
      </c>
      <c r="P13">
        <v>3.8</v>
      </c>
      <c r="Q13">
        <v>910791.94</v>
      </c>
      <c r="R13">
        <v>158891.28</v>
      </c>
    </row>
    <row r="14" spans="1:18">
      <c r="A14" s="3" t="s">
        <v>22</v>
      </c>
      <c r="B14" s="2">
        <v>45658</v>
      </c>
      <c r="C14" t="s">
        <v>15</v>
      </c>
      <c r="D14" t="s">
        <v>16</v>
      </c>
      <c r="E14">
        <f>IF(D14="Residential",1,0)</f>
        <v>1</v>
      </c>
      <c r="F14">
        <f t="shared" si="0"/>
        <v>0</v>
      </c>
      <c r="G14">
        <f t="shared" si="1"/>
        <v>0</v>
      </c>
      <c r="H14">
        <f t="shared" si="2"/>
        <v>0</v>
      </c>
      <c r="I14">
        <v>71828.259999999995</v>
      </c>
      <c r="J14">
        <v>12775</v>
      </c>
      <c r="K14">
        <v>0.11600000000000001</v>
      </c>
      <c r="L14">
        <v>30</v>
      </c>
      <c r="M14">
        <v>81.7</v>
      </c>
      <c r="N14">
        <v>4.24</v>
      </c>
      <c r="O14">
        <v>1</v>
      </c>
      <c r="P14">
        <v>4.2</v>
      </c>
      <c r="Q14">
        <v>922168.6</v>
      </c>
      <c r="R14">
        <v>107494.53</v>
      </c>
    </row>
    <row r="15" spans="1:18">
      <c r="A15" s="3" t="s">
        <v>22</v>
      </c>
      <c r="B15" s="2">
        <v>45689</v>
      </c>
      <c r="C15" t="s">
        <v>15</v>
      </c>
      <c r="D15" t="s">
        <v>16</v>
      </c>
      <c r="E15">
        <f>IF(D15="Residential",1,0)</f>
        <v>1</v>
      </c>
      <c r="F15">
        <f t="shared" si="0"/>
        <v>0</v>
      </c>
      <c r="G15">
        <f t="shared" si="1"/>
        <v>0</v>
      </c>
      <c r="H15">
        <f t="shared" si="2"/>
        <v>0</v>
      </c>
      <c r="I15">
        <v>55716.82</v>
      </c>
      <c r="J15">
        <v>10054</v>
      </c>
      <c r="K15">
        <v>0.14599999999999999</v>
      </c>
      <c r="L15">
        <v>24</v>
      </c>
      <c r="M15">
        <v>84.9</v>
      </c>
      <c r="N15">
        <v>1.06</v>
      </c>
      <c r="O15">
        <v>0</v>
      </c>
      <c r="P15">
        <v>4.3</v>
      </c>
      <c r="Q15">
        <v>726606.28</v>
      </c>
      <c r="R15">
        <v>122729.29</v>
      </c>
    </row>
    <row r="16" spans="1:18">
      <c r="A16" s="3" t="s">
        <v>22</v>
      </c>
      <c r="B16" s="2">
        <v>45717</v>
      </c>
      <c r="C16" t="s">
        <v>15</v>
      </c>
      <c r="D16" t="s">
        <v>16</v>
      </c>
      <c r="E16">
        <f>IF(D16="Residential",1,0)</f>
        <v>1</v>
      </c>
      <c r="F16">
        <f t="shared" si="0"/>
        <v>0</v>
      </c>
      <c r="G16">
        <f t="shared" si="1"/>
        <v>0</v>
      </c>
      <c r="H16">
        <f t="shared" si="2"/>
        <v>0</v>
      </c>
      <c r="I16">
        <v>59909.51</v>
      </c>
      <c r="J16">
        <v>8895</v>
      </c>
      <c r="K16">
        <v>0.22800000000000001</v>
      </c>
      <c r="L16">
        <v>23</v>
      </c>
      <c r="M16">
        <v>88.8</v>
      </c>
      <c r="N16">
        <v>0.27</v>
      </c>
      <c r="O16">
        <v>0</v>
      </c>
      <c r="P16">
        <v>4.3</v>
      </c>
      <c r="Q16">
        <v>746501.09</v>
      </c>
      <c r="R16">
        <v>136816.72</v>
      </c>
    </row>
    <row r="17" spans="1:18">
      <c r="A17" s="3" t="s">
        <v>22</v>
      </c>
      <c r="B17" s="2">
        <v>45748</v>
      </c>
      <c r="C17" t="s">
        <v>15</v>
      </c>
      <c r="D17" t="s">
        <v>16</v>
      </c>
      <c r="E17">
        <f>IF(D17="Residential",1,0)</f>
        <v>1</v>
      </c>
      <c r="F17">
        <f t="shared" si="0"/>
        <v>0</v>
      </c>
      <c r="G17">
        <f t="shared" si="1"/>
        <v>0</v>
      </c>
      <c r="H17">
        <f t="shared" si="2"/>
        <v>0</v>
      </c>
      <c r="I17">
        <v>75305.710000000006</v>
      </c>
      <c r="J17">
        <v>10940</v>
      </c>
      <c r="K17">
        <v>6.0000000000000001E-3</v>
      </c>
      <c r="L17">
        <v>26</v>
      </c>
      <c r="M17">
        <v>76.5</v>
      </c>
      <c r="N17">
        <v>1.32</v>
      </c>
      <c r="O17">
        <v>0</v>
      </c>
      <c r="P17">
        <v>4.5</v>
      </c>
      <c r="Q17">
        <v>834017.02</v>
      </c>
      <c r="R17">
        <v>114745.03</v>
      </c>
    </row>
    <row r="18" spans="1:18">
      <c r="A18" s="3" t="s">
        <v>23</v>
      </c>
      <c r="B18" s="2">
        <v>45658</v>
      </c>
      <c r="C18" t="s">
        <v>24</v>
      </c>
      <c r="D18" t="s">
        <v>16</v>
      </c>
      <c r="E18">
        <f>IF(D18="Residential",1,0)</f>
        <v>1</v>
      </c>
      <c r="F18">
        <f t="shared" si="0"/>
        <v>0</v>
      </c>
      <c r="G18">
        <f t="shared" si="1"/>
        <v>0</v>
      </c>
      <c r="H18">
        <f t="shared" si="2"/>
        <v>0</v>
      </c>
      <c r="I18">
        <v>48804.22</v>
      </c>
      <c r="J18">
        <v>7057</v>
      </c>
      <c r="K18">
        <v>5.0000000000000001E-3</v>
      </c>
      <c r="L18">
        <v>15</v>
      </c>
      <c r="M18">
        <v>87.7</v>
      </c>
      <c r="N18">
        <v>1.22</v>
      </c>
      <c r="O18">
        <v>0</v>
      </c>
      <c r="P18">
        <v>3.7</v>
      </c>
      <c r="Q18">
        <v>666152.52</v>
      </c>
      <c r="R18">
        <v>107490.58</v>
      </c>
    </row>
    <row r="19" spans="1:18">
      <c r="A19" s="3" t="s">
        <v>23</v>
      </c>
      <c r="B19" s="2">
        <v>45689</v>
      </c>
      <c r="C19" t="s">
        <v>24</v>
      </c>
      <c r="D19" t="s">
        <v>16</v>
      </c>
      <c r="E19">
        <f>IF(D19="Residential",1,0)</f>
        <v>1</v>
      </c>
      <c r="F19">
        <f t="shared" si="0"/>
        <v>0</v>
      </c>
      <c r="G19">
        <f t="shared" si="1"/>
        <v>0</v>
      </c>
      <c r="H19">
        <f t="shared" si="2"/>
        <v>0</v>
      </c>
      <c r="I19">
        <v>59117.9</v>
      </c>
      <c r="J19">
        <v>4263</v>
      </c>
      <c r="K19">
        <v>0.11899999999999999</v>
      </c>
      <c r="L19">
        <v>9</v>
      </c>
      <c r="M19">
        <v>87.6</v>
      </c>
      <c r="N19">
        <v>4.01</v>
      </c>
      <c r="O19">
        <v>0</v>
      </c>
      <c r="P19">
        <v>3.6</v>
      </c>
      <c r="Q19">
        <v>573155.18999999994</v>
      </c>
      <c r="R19">
        <v>83680.75</v>
      </c>
    </row>
    <row r="20" spans="1:18">
      <c r="A20" s="3" t="s">
        <v>23</v>
      </c>
      <c r="B20" s="2">
        <v>45717</v>
      </c>
      <c r="C20" t="s">
        <v>24</v>
      </c>
      <c r="D20" t="s">
        <v>16</v>
      </c>
      <c r="E20">
        <f>IF(D20="Residential",1,0)</f>
        <v>1</v>
      </c>
      <c r="F20">
        <f t="shared" si="0"/>
        <v>0</v>
      </c>
      <c r="G20">
        <f t="shared" si="1"/>
        <v>0</v>
      </c>
      <c r="H20">
        <f t="shared" si="2"/>
        <v>0</v>
      </c>
      <c r="I20">
        <v>78831.12</v>
      </c>
      <c r="J20">
        <v>5538</v>
      </c>
      <c r="K20">
        <v>0</v>
      </c>
      <c r="L20">
        <v>15</v>
      </c>
      <c r="M20">
        <v>94.1</v>
      </c>
      <c r="N20">
        <v>0.2</v>
      </c>
      <c r="O20">
        <v>0</v>
      </c>
      <c r="P20">
        <v>3.9</v>
      </c>
      <c r="Q20">
        <v>666573.19999999995</v>
      </c>
      <c r="R20">
        <v>140641.01999999999</v>
      </c>
    </row>
    <row r="21" spans="1:18">
      <c r="A21" s="3" t="s">
        <v>23</v>
      </c>
      <c r="B21" s="2">
        <v>45748</v>
      </c>
      <c r="C21" t="s">
        <v>24</v>
      </c>
      <c r="D21" t="s">
        <v>16</v>
      </c>
      <c r="E21">
        <f>IF(D21="Residential",1,0)</f>
        <v>1</v>
      </c>
      <c r="F21">
        <f t="shared" si="0"/>
        <v>0</v>
      </c>
      <c r="G21">
        <f t="shared" si="1"/>
        <v>0</v>
      </c>
      <c r="H21">
        <f t="shared" si="2"/>
        <v>0</v>
      </c>
      <c r="I21">
        <v>41441.93</v>
      </c>
      <c r="J21">
        <v>4865</v>
      </c>
      <c r="K21">
        <v>0.158</v>
      </c>
      <c r="L21">
        <v>16</v>
      </c>
      <c r="M21">
        <v>88.3</v>
      </c>
      <c r="N21">
        <v>0.5</v>
      </c>
      <c r="O21">
        <v>0</v>
      </c>
      <c r="P21">
        <v>4</v>
      </c>
      <c r="Q21">
        <v>591619.94999999995</v>
      </c>
      <c r="R21">
        <v>99521.35</v>
      </c>
    </row>
    <row r="22" spans="1:18">
      <c r="A22" s="3" t="s">
        <v>25</v>
      </c>
      <c r="B22" s="2">
        <v>45658</v>
      </c>
      <c r="C22" t="s">
        <v>20</v>
      </c>
      <c r="D22" t="s">
        <v>16</v>
      </c>
      <c r="E22">
        <f>IF(D22="Residential",1,0)</f>
        <v>1</v>
      </c>
      <c r="F22">
        <f t="shared" si="0"/>
        <v>0</v>
      </c>
      <c r="G22">
        <f t="shared" si="1"/>
        <v>0</v>
      </c>
      <c r="H22">
        <f t="shared" si="2"/>
        <v>0</v>
      </c>
      <c r="I22">
        <v>30356.28</v>
      </c>
      <c r="J22">
        <v>2822</v>
      </c>
      <c r="K22">
        <v>0.23100000000000001</v>
      </c>
      <c r="L22">
        <v>9</v>
      </c>
      <c r="M22">
        <v>84.8</v>
      </c>
      <c r="N22">
        <v>6.95</v>
      </c>
      <c r="O22">
        <v>0</v>
      </c>
      <c r="P22">
        <v>5</v>
      </c>
      <c r="Q22">
        <v>415721.82</v>
      </c>
      <c r="R22">
        <v>61179.15</v>
      </c>
    </row>
    <row r="23" spans="1:18">
      <c r="A23" s="3" t="s">
        <v>25</v>
      </c>
      <c r="B23" s="2">
        <v>45689</v>
      </c>
      <c r="C23" t="s">
        <v>20</v>
      </c>
      <c r="D23" t="s">
        <v>16</v>
      </c>
      <c r="E23">
        <f>IF(D23="Residential",1,0)</f>
        <v>1</v>
      </c>
      <c r="F23">
        <f t="shared" si="0"/>
        <v>0</v>
      </c>
      <c r="G23">
        <f t="shared" si="1"/>
        <v>0</v>
      </c>
      <c r="H23">
        <f t="shared" si="2"/>
        <v>0</v>
      </c>
      <c r="I23">
        <v>33518.879999999997</v>
      </c>
      <c r="J23">
        <v>2121</v>
      </c>
      <c r="K23">
        <v>0.17599999999999999</v>
      </c>
      <c r="L23">
        <v>8</v>
      </c>
      <c r="M23">
        <v>88.5</v>
      </c>
      <c r="N23">
        <v>0.2</v>
      </c>
      <c r="O23">
        <v>0</v>
      </c>
      <c r="P23">
        <v>5</v>
      </c>
      <c r="Q23">
        <v>491905.13</v>
      </c>
      <c r="R23">
        <v>79212.259999999995</v>
      </c>
    </row>
    <row r="24" spans="1:18">
      <c r="A24" s="3" t="s">
        <v>25</v>
      </c>
      <c r="B24" s="2">
        <v>45717</v>
      </c>
      <c r="C24" t="s">
        <v>20</v>
      </c>
      <c r="D24" t="s">
        <v>16</v>
      </c>
      <c r="E24">
        <f>IF(D24="Residential",1,0)</f>
        <v>1</v>
      </c>
      <c r="F24">
        <f t="shared" si="0"/>
        <v>0</v>
      </c>
      <c r="G24">
        <f t="shared" si="1"/>
        <v>0</v>
      </c>
      <c r="H24">
        <f t="shared" si="2"/>
        <v>0</v>
      </c>
      <c r="I24">
        <v>42267.37</v>
      </c>
      <c r="J24">
        <v>3364</v>
      </c>
      <c r="K24">
        <v>0.16</v>
      </c>
      <c r="L24">
        <v>13</v>
      </c>
      <c r="M24">
        <v>82</v>
      </c>
      <c r="N24">
        <v>1.61</v>
      </c>
      <c r="O24">
        <v>1</v>
      </c>
      <c r="P24">
        <v>4.5999999999999996</v>
      </c>
      <c r="Q24">
        <v>555929.4</v>
      </c>
      <c r="R24">
        <v>115201.76</v>
      </c>
    </row>
    <row r="25" spans="1:18">
      <c r="A25" s="3" t="s">
        <v>25</v>
      </c>
      <c r="B25" s="2">
        <v>45748</v>
      </c>
      <c r="C25" t="s">
        <v>20</v>
      </c>
      <c r="D25" t="s">
        <v>16</v>
      </c>
      <c r="E25">
        <f>IF(D25="Residential",1,0)</f>
        <v>1</v>
      </c>
      <c r="F25">
        <f t="shared" si="0"/>
        <v>0</v>
      </c>
      <c r="G25">
        <f t="shared" si="1"/>
        <v>0</v>
      </c>
      <c r="H25">
        <f t="shared" si="2"/>
        <v>0</v>
      </c>
      <c r="I25">
        <v>62060.43</v>
      </c>
      <c r="J25">
        <v>2613</v>
      </c>
      <c r="K25">
        <v>0.216</v>
      </c>
      <c r="L25">
        <v>12</v>
      </c>
      <c r="M25">
        <v>92.1</v>
      </c>
      <c r="N25">
        <v>1.55</v>
      </c>
      <c r="O25">
        <v>0</v>
      </c>
      <c r="P25">
        <v>4.7</v>
      </c>
      <c r="Q25">
        <v>565810.99</v>
      </c>
      <c r="R25">
        <v>77825.460000000006</v>
      </c>
    </row>
    <row r="26" spans="1:18">
      <c r="A26" s="3" t="s">
        <v>26</v>
      </c>
      <c r="B26" s="2">
        <v>45658</v>
      </c>
      <c r="C26" t="s">
        <v>27</v>
      </c>
      <c r="D26" t="s">
        <v>28</v>
      </c>
      <c r="E26">
        <f>IF(D26="Residential",1,0)</f>
        <v>0</v>
      </c>
      <c r="F26">
        <f t="shared" si="0"/>
        <v>0</v>
      </c>
      <c r="G26">
        <f t="shared" si="1"/>
        <v>0</v>
      </c>
      <c r="H26">
        <f t="shared" si="2"/>
        <v>1</v>
      </c>
      <c r="I26">
        <v>57696.69</v>
      </c>
      <c r="J26">
        <v>10218</v>
      </c>
      <c r="K26">
        <v>0.121</v>
      </c>
      <c r="L26">
        <v>25</v>
      </c>
      <c r="M26">
        <v>94.8</v>
      </c>
      <c r="N26">
        <v>2.99</v>
      </c>
      <c r="O26">
        <v>0</v>
      </c>
      <c r="P26">
        <v>3.5</v>
      </c>
      <c r="Q26">
        <v>811771.14</v>
      </c>
      <c r="R26">
        <v>148756.24</v>
      </c>
    </row>
    <row r="27" spans="1:18">
      <c r="A27" s="3" t="s">
        <v>26</v>
      </c>
      <c r="B27" s="2">
        <v>45689</v>
      </c>
      <c r="C27" t="s">
        <v>27</v>
      </c>
      <c r="D27" t="s">
        <v>28</v>
      </c>
      <c r="E27">
        <f>IF(D27="Residential",1,0)</f>
        <v>0</v>
      </c>
      <c r="F27">
        <f t="shared" si="0"/>
        <v>0</v>
      </c>
      <c r="G27">
        <f t="shared" si="1"/>
        <v>0</v>
      </c>
      <c r="H27">
        <f t="shared" si="2"/>
        <v>1</v>
      </c>
      <c r="I27">
        <v>172415.52</v>
      </c>
      <c r="J27">
        <v>8927</v>
      </c>
      <c r="K27">
        <v>0.14000000000000001</v>
      </c>
      <c r="L27">
        <v>22</v>
      </c>
      <c r="M27">
        <v>86.2</v>
      </c>
      <c r="N27">
        <v>7.04</v>
      </c>
      <c r="O27">
        <v>0</v>
      </c>
      <c r="P27">
        <v>3.9</v>
      </c>
      <c r="Q27">
        <v>800451.94</v>
      </c>
      <c r="R27">
        <v>111572.29</v>
      </c>
    </row>
    <row r="28" spans="1:18">
      <c r="A28" s="3" t="s">
        <v>26</v>
      </c>
      <c r="B28" s="2">
        <v>45717</v>
      </c>
      <c r="C28" t="s">
        <v>27</v>
      </c>
      <c r="D28" t="s">
        <v>28</v>
      </c>
      <c r="E28">
        <f>IF(D28="Residential",1,0)</f>
        <v>0</v>
      </c>
      <c r="F28">
        <f t="shared" si="0"/>
        <v>0</v>
      </c>
      <c r="G28">
        <f t="shared" si="1"/>
        <v>0</v>
      </c>
      <c r="H28">
        <f t="shared" si="2"/>
        <v>1</v>
      </c>
      <c r="I28">
        <v>55270.52</v>
      </c>
      <c r="J28">
        <v>9315</v>
      </c>
      <c r="K28">
        <v>0.16900000000000001</v>
      </c>
      <c r="L28">
        <v>23</v>
      </c>
      <c r="M28">
        <v>91.9</v>
      </c>
      <c r="N28">
        <v>4.9400000000000004</v>
      </c>
      <c r="O28">
        <v>0</v>
      </c>
      <c r="P28">
        <v>4</v>
      </c>
      <c r="Q28">
        <v>783672.82</v>
      </c>
      <c r="R28">
        <v>112577.14</v>
      </c>
    </row>
    <row r="29" spans="1:18">
      <c r="A29" s="3" t="s">
        <v>26</v>
      </c>
      <c r="B29" s="2">
        <v>45748</v>
      </c>
      <c r="C29" t="s">
        <v>27</v>
      </c>
      <c r="D29" t="s">
        <v>28</v>
      </c>
      <c r="E29">
        <f>IF(D29="Residential",1,0)</f>
        <v>0</v>
      </c>
      <c r="F29">
        <f t="shared" si="0"/>
        <v>0</v>
      </c>
      <c r="G29">
        <f t="shared" si="1"/>
        <v>0</v>
      </c>
      <c r="H29">
        <f t="shared" si="2"/>
        <v>1</v>
      </c>
      <c r="I29">
        <v>52715.1</v>
      </c>
      <c r="J29">
        <v>7223</v>
      </c>
      <c r="K29">
        <v>0.122</v>
      </c>
      <c r="L29">
        <v>16</v>
      </c>
      <c r="M29">
        <v>84.2</v>
      </c>
      <c r="N29">
        <v>16.149999999999999</v>
      </c>
      <c r="O29">
        <v>0</v>
      </c>
      <c r="P29">
        <v>3.7</v>
      </c>
      <c r="Q29">
        <v>701641.97</v>
      </c>
      <c r="R29">
        <v>106111.86</v>
      </c>
    </row>
    <row r="30" spans="1:18">
      <c r="A30" s="3" t="s">
        <v>29</v>
      </c>
      <c r="B30" s="2">
        <v>45658</v>
      </c>
      <c r="C30" t="s">
        <v>15</v>
      </c>
      <c r="D30" t="s">
        <v>16</v>
      </c>
      <c r="E30">
        <f>IF(D30="Residential",1,0)</f>
        <v>1</v>
      </c>
      <c r="F30">
        <f t="shared" si="0"/>
        <v>0</v>
      </c>
      <c r="G30">
        <f t="shared" si="1"/>
        <v>0</v>
      </c>
      <c r="H30">
        <f t="shared" si="2"/>
        <v>0</v>
      </c>
      <c r="I30">
        <v>68600.62</v>
      </c>
      <c r="J30">
        <v>3988</v>
      </c>
      <c r="K30">
        <v>0.124</v>
      </c>
      <c r="L30">
        <v>11</v>
      </c>
      <c r="M30">
        <v>85</v>
      </c>
      <c r="N30">
        <v>0.48</v>
      </c>
      <c r="O30">
        <v>0</v>
      </c>
      <c r="P30">
        <v>3.6</v>
      </c>
      <c r="Q30">
        <v>511844.41</v>
      </c>
      <c r="R30">
        <v>72774.44</v>
      </c>
    </row>
    <row r="31" spans="1:18">
      <c r="A31" s="3" t="s">
        <v>29</v>
      </c>
      <c r="B31" s="2">
        <v>45689</v>
      </c>
      <c r="C31" t="s">
        <v>15</v>
      </c>
      <c r="D31" t="s">
        <v>16</v>
      </c>
      <c r="E31">
        <f>IF(D31="Residential",1,0)</f>
        <v>1</v>
      </c>
      <c r="F31">
        <f t="shared" si="0"/>
        <v>0</v>
      </c>
      <c r="G31">
        <f t="shared" si="1"/>
        <v>0</v>
      </c>
      <c r="H31">
        <f t="shared" si="2"/>
        <v>0</v>
      </c>
      <c r="I31">
        <v>63176.73</v>
      </c>
      <c r="J31">
        <v>2390</v>
      </c>
      <c r="K31">
        <v>0.216</v>
      </c>
      <c r="L31">
        <v>9</v>
      </c>
      <c r="M31">
        <v>87.5</v>
      </c>
      <c r="N31">
        <v>0.31</v>
      </c>
      <c r="O31">
        <v>0</v>
      </c>
      <c r="P31">
        <v>3.1</v>
      </c>
      <c r="Q31">
        <v>537383.79</v>
      </c>
      <c r="R31">
        <v>63773.27</v>
      </c>
    </row>
    <row r="32" spans="1:18">
      <c r="A32" s="3" t="s">
        <v>29</v>
      </c>
      <c r="B32" s="2">
        <v>45717</v>
      </c>
      <c r="C32" t="s">
        <v>15</v>
      </c>
      <c r="D32" t="s">
        <v>16</v>
      </c>
      <c r="E32">
        <f>IF(D32="Residential",1,0)</f>
        <v>1</v>
      </c>
      <c r="F32">
        <f t="shared" si="0"/>
        <v>0</v>
      </c>
      <c r="G32">
        <f t="shared" si="1"/>
        <v>0</v>
      </c>
      <c r="H32">
        <f t="shared" si="2"/>
        <v>0</v>
      </c>
      <c r="I32">
        <v>44970.080000000002</v>
      </c>
      <c r="J32">
        <v>2471</v>
      </c>
      <c r="K32">
        <v>0.13600000000000001</v>
      </c>
      <c r="L32">
        <v>11</v>
      </c>
      <c r="M32">
        <v>87.6</v>
      </c>
      <c r="N32">
        <v>3.01</v>
      </c>
      <c r="O32">
        <v>1</v>
      </c>
      <c r="P32">
        <v>3.7</v>
      </c>
      <c r="Q32">
        <v>500173.02</v>
      </c>
      <c r="R32">
        <v>70982.05</v>
      </c>
    </row>
    <row r="33" spans="1:18">
      <c r="A33" s="3" t="s">
        <v>29</v>
      </c>
      <c r="B33" s="2">
        <v>45748</v>
      </c>
      <c r="C33" t="s">
        <v>15</v>
      </c>
      <c r="D33" t="s">
        <v>16</v>
      </c>
      <c r="E33">
        <f>IF(D33="Residential",1,0)</f>
        <v>1</v>
      </c>
      <c r="F33">
        <f t="shared" si="0"/>
        <v>0</v>
      </c>
      <c r="G33">
        <f t="shared" si="1"/>
        <v>0</v>
      </c>
      <c r="H33">
        <f t="shared" si="2"/>
        <v>0</v>
      </c>
      <c r="I33">
        <v>69816.350000000006</v>
      </c>
      <c r="J33">
        <v>971</v>
      </c>
      <c r="K33">
        <v>0.16800000000000001</v>
      </c>
      <c r="L33">
        <v>5</v>
      </c>
      <c r="M33">
        <v>89.9</v>
      </c>
      <c r="N33">
        <v>12.15</v>
      </c>
      <c r="O33">
        <v>0</v>
      </c>
      <c r="P33">
        <v>3.6</v>
      </c>
      <c r="Q33">
        <v>427917.38</v>
      </c>
      <c r="R33">
        <v>81824.31</v>
      </c>
    </row>
    <row r="34" spans="1:18">
      <c r="A34" s="3" t="s">
        <v>30</v>
      </c>
      <c r="B34" s="2">
        <v>45658</v>
      </c>
      <c r="C34" t="s">
        <v>20</v>
      </c>
      <c r="D34" t="s">
        <v>16</v>
      </c>
      <c r="E34">
        <f>IF(D34="Residential",1,0)</f>
        <v>1</v>
      </c>
      <c r="F34">
        <f t="shared" si="0"/>
        <v>0</v>
      </c>
      <c r="G34">
        <f t="shared" si="1"/>
        <v>0</v>
      </c>
      <c r="H34">
        <f t="shared" si="2"/>
        <v>0</v>
      </c>
      <c r="I34">
        <v>54597.83</v>
      </c>
      <c r="J34">
        <v>9429</v>
      </c>
      <c r="K34">
        <v>0.188</v>
      </c>
      <c r="L34">
        <v>21</v>
      </c>
      <c r="M34">
        <v>83.3</v>
      </c>
      <c r="N34">
        <v>11.71</v>
      </c>
      <c r="O34">
        <v>0</v>
      </c>
      <c r="P34">
        <v>4.2</v>
      </c>
      <c r="Q34">
        <v>641865.03</v>
      </c>
      <c r="R34">
        <v>81342.58</v>
      </c>
    </row>
    <row r="35" spans="1:18">
      <c r="A35" s="3" t="s">
        <v>30</v>
      </c>
      <c r="B35" s="2">
        <v>45689</v>
      </c>
      <c r="C35" t="s">
        <v>20</v>
      </c>
      <c r="D35" t="s">
        <v>16</v>
      </c>
      <c r="E35">
        <f>IF(D35="Residential",1,0)</f>
        <v>1</v>
      </c>
      <c r="F35">
        <f t="shared" si="0"/>
        <v>0</v>
      </c>
      <c r="G35">
        <f t="shared" si="1"/>
        <v>0</v>
      </c>
      <c r="H35">
        <f t="shared" si="2"/>
        <v>0</v>
      </c>
      <c r="I35">
        <v>73771.91</v>
      </c>
      <c r="J35">
        <v>11695</v>
      </c>
      <c r="K35">
        <v>7.0000000000000007E-2</v>
      </c>
      <c r="L35">
        <v>25</v>
      </c>
      <c r="M35">
        <v>84.7</v>
      </c>
      <c r="N35">
        <v>0.62</v>
      </c>
      <c r="O35">
        <v>0</v>
      </c>
      <c r="P35">
        <v>0</v>
      </c>
      <c r="Q35">
        <v>799477.76000000001</v>
      </c>
      <c r="R35">
        <v>164974.41</v>
      </c>
    </row>
    <row r="36" spans="1:18">
      <c r="A36" s="3" t="s">
        <v>30</v>
      </c>
      <c r="B36" s="2">
        <v>45717</v>
      </c>
      <c r="C36" t="s">
        <v>20</v>
      </c>
      <c r="D36" t="s">
        <v>16</v>
      </c>
      <c r="E36">
        <f>IF(D36="Residential",1,0)</f>
        <v>1</v>
      </c>
      <c r="F36">
        <f t="shared" si="0"/>
        <v>0</v>
      </c>
      <c r="G36">
        <f t="shared" si="1"/>
        <v>0</v>
      </c>
      <c r="H36">
        <f t="shared" si="2"/>
        <v>0</v>
      </c>
      <c r="I36">
        <v>74413.88</v>
      </c>
      <c r="J36">
        <v>9449</v>
      </c>
      <c r="K36">
        <v>3.9E-2</v>
      </c>
      <c r="L36">
        <v>23</v>
      </c>
      <c r="M36">
        <v>92.1</v>
      </c>
      <c r="N36">
        <v>2.12</v>
      </c>
      <c r="O36">
        <v>0</v>
      </c>
      <c r="P36">
        <v>3.5</v>
      </c>
      <c r="Q36">
        <v>798952.17</v>
      </c>
      <c r="R36">
        <v>161499.04</v>
      </c>
    </row>
    <row r="37" spans="1:18">
      <c r="A37" s="3" t="s">
        <v>30</v>
      </c>
      <c r="B37" s="2">
        <v>45748</v>
      </c>
      <c r="C37" t="s">
        <v>20</v>
      </c>
      <c r="D37" t="s">
        <v>16</v>
      </c>
      <c r="E37">
        <f>IF(D37="Residential",1,0)</f>
        <v>1</v>
      </c>
      <c r="F37">
        <f t="shared" si="0"/>
        <v>0</v>
      </c>
      <c r="G37">
        <f t="shared" si="1"/>
        <v>0</v>
      </c>
      <c r="H37">
        <f t="shared" si="2"/>
        <v>0</v>
      </c>
      <c r="I37">
        <v>52483.77</v>
      </c>
      <c r="J37">
        <v>10453</v>
      </c>
      <c r="K37">
        <v>0.247</v>
      </c>
      <c r="L37">
        <v>25</v>
      </c>
      <c r="M37">
        <v>99</v>
      </c>
      <c r="N37">
        <v>6.31</v>
      </c>
      <c r="O37">
        <v>0</v>
      </c>
      <c r="P37">
        <v>3.6</v>
      </c>
      <c r="Q37">
        <v>800979.78</v>
      </c>
      <c r="R37">
        <v>149242.26999999999</v>
      </c>
    </row>
    <row r="38" spans="1:18">
      <c r="A38" s="3" t="s">
        <v>31</v>
      </c>
      <c r="B38" s="2">
        <v>45658</v>
      </c>
      <c r="C38" t="s">
        <v>20</v>
      </c>
      <c r="D38" t="s">
        <v>28</v>
      </c>
      <c r="E38">
        <f>IF(D38="Residential",1,0)</f>
        <v>0</v>
      </c>
      <c r="F38">
        <f t="shared" si="0"/>
        <v>0</v>
      </c>
      <c r="G38">
        <f t="shared" si="1"/>
        <v>0</v>
      </c>
      <c r="H38">
        <f t="shared" si="2"/>
        <v>1</v>
      </c>
      <c r="I38">
        <v>75269.87</v>
      </c>
      <c r="J38">
        <v>8838</v>
      </c>
      <c r="K38">
        <v>9.1999999999999998E-2</v>
      </c>
      <c r="L38">
        <v>21</v>
      </c>
      <c r="M38">
        <v>83.1</v>
      </c>
      <c r="N38">
        <v>9.56</v>
      </c>
      <c r="O38">
        <v>1</v>
      </c>
      <c r="P38">
        <v>4.2</v>
      </c>
      <c r="Q38">
        <v>820593.93</v>
      </c>
      <c r="R38">
        <v>115860.06</v>
      </c>
    </row>
    <row r="39" spans="1:18">
      <c r="A39" s="3" t="s">
        <v>31</v>
      </c>
      <c r="B39" s="2">
        <v>45689</v>
      </c>
      <c r="C39" t="s">
        <v>20</v>
      </c>
      <c r="D39" t="s">
        <v>28</v>
      </c>
      <c r="E39">
        <f>IF(D39="Residential",1,0)</f>
        <v>0</v>
      </c>
      <c r="F39">
        <f t="shared" si="0"/>
        <v>0</v>
      </c>
      <c r="G39">
        <f t="shared" si="1"/>
        <v>0</v>
      </c>
      <c r="H39">
        <f t="shared" si="2"/>
        <v>1</v>
      </c>
      <c r="I39">
        <v>61245.41</v>
      </c>
      <c r="J39">
        <v>8156</v>
      </c>
      <c r="K39">
        <v>0.156</v>
      </c>
      <c r="L39">
        <v>19</v>
      </c>
      <c r="M39">
        <v>92.9</v>
      </c>
      <c r="N39">
        <v>9.0500000000000007</v>
      </c>
      <c r="O39">
        <v>0</v>
      </c>
      <c r="P39">
        <v>3.8</v>
      </c>
      <c r="Q39">
        <v>718330.53</v>
      </c>
      <c r="R39">
        <v>93247.9</v>
      </c>
    </row>
    <row r="40" spans="1:18">
      <c r="A40" s="3" t="s">
        <v>31</v>
      </c>
      <c r="B40" s="2">
        <v>45717</v>
      </c>
      <c r="C40" t="s">
        <v>20</v>
      </c>
      <c r="D40" t="s">
        <v>28</v>
      </c>
      <c r="E40">
        <f>IF(D40="Residential",1,0)</f>
        <v>0</v>
      </c>
      <c r="F40">
        <f t="shared" si="0"/>
        <v>0</v>
      </c>
      <c r="G40">
        <f t="shared" si="1"/>
        <v>0</v>
      </c>
      <c r="H40">
        <f t="shared" si="2"/>
        <v>1</v>
      </c>
      <c r="I40">
        <v>93381.26</v>
      </c>
      <c r="J40">
        <v>7562</v>
      </c>
      <c r="K40">
        <v>0.19800000000000001</v>
      </c>
      <c r="L40">
        <v>19</v>
      </c>
      <c r="M40">
        <v>82.9</v>
      </c>
      <c r="N40">
        <v>5.05</v>
      </c>
      <c r="O40">
        <v>0</v>
      </c>
      <c r="P40">
        <v>4</v>
      </c>
      <c r="Q40">
        <v>736633.4</v>
      </c>
      <c r="R40">
        <v>115654.66</v>
      </c>
    </row>
    <row r="41" spans="1:18">
      <c r="A41" s="3" t="s">
        <v>31</v>
      </c>
      <c r="B41" s="2">
        <v>45748</v>
      </c>
      <c r="C41" t="s">
        <v>20</v>
      </c>
      <c r="D41" t="s">
        <v>28</v>
      </c>
      <c r="E41">
        <f>IF(D41="Residential",1,0)</f>
        <v>0</v>
      </c>
      <c r="F41">
        <f t="shared" si="0"/>
        <v>0</v>
      </c>
      <c r="G41">
        <f t="shared" si="1"/>
        <v>0</v>
      </c>
      <c r="H41">
        <f t="shared" si="2"/>
        <v>1</v>
      </c>
      <c r="I41">
        <v>65012.19</v>
      </c>
      <c r="J41">
        <v>9598</v>
      </c>
      <c r="K41">
        <v>8.5000000000000006E-2</v>
      </c>
      <c r="L41">
        <v>24</v>
      </c>
      <c r="M41">
        <v>98.3</v>
      </c>
      <c r="N41">
        <v>0.89</v>
      </c>
      <c r="O41">
        <v>0</v>
      </c>
      <c r="P41">
        <v>3.8</v>
      </c>
      <c r="Q41">
        <v>828623.85</v>
      </c>
      <c r="R41">
        <v>167320.51999999999</v>
      </c>
    </row>
    <row r="42" spans="1:18">
      <c r="A42" s="3" t="s">
        <v>32</v>
      </c>
      <c r="B42" s="2">
        <v>45658</v>
      </c>
      <c r="C42" t="s">
        <v>15</v>
      </c>
      <c r="D42" t="s">
        <v>28</v>
      </c>
      <c r="E42">
        <f>IF(D42="Residential",1,0)</f>
        <v>0</v>
      </c>
      <c r="F42">
        <f t="shared" si="0"/>
        <v>0</v>
      </c>
      <c r="G42">
        <f t="shared" si="1"/>
        <v>0</v>
      </c>
      <c r="H42">
        <f t="shared" si="2"/>
        <v>1</v>
      </c>
      <c r="I42">
        <v>40462.94</v>
      </c>
      <c r="J42">
        <v>3660</v>
      </c>
      <c r="K42">
        <v>0.218</v>
      </c>
      <c r="L42">
        <v>11</v>
      </c>
      <c r="M42">
        <v>95.2</v>
      </c>
      <c r="N42">
        <v>5.57</v>
      </c>
      <c r="O42">
        <v>0</v>
      </c>
      <c r="P42">
        <v>4.4000000000000004</v>
      </c>
      <c r="Q42">
        <v>592195.85</v>
      </c>
      <c r="R42">
        <v>92291.56</v>
      </c>
    </row>
    <row r="43" spans="1:18">
      <c r="A43" s="3" t="s">
        <v>32</v>
      </c>
      <c r="B43" s="2">
        <v>45689</v>
      </c>
      <c r="C43" t="s">
        <v>15</v>
      </c>
      <c r="D43" t="s">
        <v>28</v>
      </c>
      <c r="E43">
        <f>IF(D43="Residential",1,0)</f>
        <v>0</v>
      </c>
      <c r="F43">
        <f t="shared" si="0"/>
        <v>0</v>
      </c>
      <c r="G43">
        <f t="shared" si="1"/>
        <v>0</v>
      </c>
      <c r="H43">
        <f t="shared" si="2"/>
        <v>1</v>
      </c>
      <c r="I43">
        <v>46123.88</v>
      </c>
      <c r="J43">
        <v>3227</v>
      </c>
      <c r="K43">
        <v>0.14299999999999999</v>
      </c>
      <c r="L43">
        <v>10</v>
      </c>
      <c r="M43">
        <v>75.400000000000006</v>
      </c>
      <c r="N43">
        <v>1.06</v>
      </c>
      <c r="O43">
        <v>0</v>
      </c>
      <c r="P43">
        <v>4.4000000000000004</v>
      </c>
      <c r="Q43">
        <v>532644.46</v>
      </c>
      <c r="R43">
        <v>60681.32</v>
      </c>
    </row>
    <row r="44" spans="1:18">
      <c r="A44" s="3" t="s">
        <v>32</v>
      </c>
      <c r="B44" s="2">
        <v>45717</v>
      </c>
      <c r="C44" t="s">
        <v>15</v>
      </c>
      <c r="D44" t="s">
        <v>28</v>
      </c>
      <c r="E44">
        <f>IF(D44="Residential",1,0)</f>
        <v>0</v>
      </c>
      <c r="F44">
        <f t="shared" si="0"/>
        <v>0</v>
      </c>
      <c r="G44">
        <f t="shared" si="1"/>
        <v>0</v>
      </c>
      <c r="H44">
        <f t="shared" si="2"/>
        <v>1</v>
      </c>
      <c r="I44">
        <v>68077.539999999994</v>
      </c>
      <c r="J44">
        <v>3360</v>
      </c>
      <c r="K44">
        <v>0.128</v>
      </c>
      <c r="L44">
        <v>14</v>
      </c>
      <c r="M44">
        <v>88.2</v>
      </c>
      <c r="N44">
        <v>1.24</v>
      </c>
      <c r="O44">
        <v>1</v>
      </c>
      <c r="P44">
        <v>4</v>
      </c>
      <c r="Q44">
        <v>657429.18000000005</v>
      </c>
      <c r="R44">
        <v>88919.74</v>
      </c>
    </row>
    <row r="45" spans="1:18">
      <c r="A45" s="3" t="s">
        <v>32</v>
      </c>
      <c r="B45" s="2">
        <v>45748</v>
      </c>
      <c r="C45" t="s">
        <v>15</v>
      </c>
      <c r="D45" t="s">
        <v>28</v>
      </c>
      <c r="E45">
        <f>IF(D45="Residential",1,0)</f>
        <v>0</v>
      </c>
      <c r="F45">
        <f t="shared" si="0"/>
        <v>0</v>
      </c>
      <c r="G45">
        <f t="shared" si="1"/>
        <v>0</v>
      </c>
      <c r="H45">
        <f t="shared" si="2"/>
        <v>1</v>
      </c>
      <c r="I45">
        <v>64882.14</v>
      </c>
      <c r="J45">
        <v>3642</v>
      </c>
      <c r="K45">
        <v>1.9E-2</v>
      </c>
      <c r="L45">
        <v>13</v>
      </c>
      <c r="M45">
        <v>87.8</v>
      </c>
      <c r="N45">
        <v>4.5199999999999996</v>
      </c>
      <c r="O45">
        <v>0</v>
      </c>
      <c r="P45">
        <v>4.2</v>
      </c>
      <c r="Q45">
        <v>605178</v>
      </c>
      <c r="R45">
        <v>106958.74</v>
      </c>
    </row>
    <row r="46" spans="1:18">
      <c r="A46" s="3" t="s">
        <v>33</v>
      </c>
      <c r="B46" s="2">
        <v>45658</v>
      </c>
      <c r="C46" t="s">
        <v>27</v>
      </c>
      <c r="D46" t="s">
        <v>16</v>
      </c>
      <c r="E46">
        <f>IF(D46="Residential",1,0)</f>
        <v>1</v>
      </c>
      <c r="F46">
        <f t="shared" si="0"/>
        <v>0</v>
      </c>
      <c r="G46">
        <f t="shared" si="1"/>
        <v>0</v>
      </c>
      <c r="H46">
        <f t="shared" si="2"/>
        <v>0</v>
      </c>
      <c r="I46">
        <v>138855.51</v>
      </c>
      <c r="J46">
        <v>5145</v>
      </c>
      <c r="K46">
        <v>0.06</v>
      </c>
      <c r="L46">
        <v>17</v>
      </c>
      <c r="M46">
        <v>88.2</v>
      </c>
      <c r="N46">
        <v>9.58</v>
      </c>
      <c r="O46">
        <v>0</v>
      </c>
      <c r="P46">
        <v>3.2</v>
      </c>
      <c r="Q46">
        <v>595467.6</v>
      </c>
      <c r="R46">
        <v>104276.46</v>
      </c>
    </row>
    <row r="47" spans="1:18">
      <c r="A47" s="3" t="s">
        <v>33</v>
      </c>
      <c r="B47" s="2">
        <v>45689</v>
      </c>
      <c r="C47" t="s">
        <v>27</v>
      </c>
      <c r="D47" t="s">
        <v>16</v>
      </c>
      <c r="E47">
        <f>IF(D47="Residential",1,0)</f>
        <v>1</v>
      </c>
      <c r="F47">
        <f t="shared" si="0"/>
        <v>0</v>
      </c>
      <c r="G47">
        <f t="shared" si="1"/>
        <v>0</v>
      </c>
      <c r="H47">
        <f t="shared" si="2"/>
        <v>0</v>
      </c>
      <c r="I47">
        <v>63630.21</v>
      </c>
      <c r="J47">
        <v>4460</v>
      </c>
      <c r="K47">
        <v>0.23499999999999999</v>
      </c>
      <c r="L47">
        <v>14</v>
      </c>
      <c r="M47">
        <v>98.6</v>
      </c>
      <c r="N47">
        <v>5.52</v>
      </c>
      <c r="O47">
        <v>0</v>
      </c>
      <c r="P47">
        <v>3.5</v>
      </c>
      <c r="Q47">
        <v>599603.4</v>
      </c>
      <c r="R47">
        <v>112685.12</v>
      </c>
    </row>
    <row r="48" spans="1:18">
      <c r="A48" s="3" t="s">
        <v>33</v>
      </c>
      <c r="B48" s="2">
        <v>45717</v>
      </c>
      <c r="C48" t="s">
        <v>27</v>
      </c>
      <c r="D48" t="s">
        <v>16</v>
      </c>
      <c r="E48">
        <f>IF(D48="Residential",1,0)</f>
        <v>1</v>
      </c>
      <c r="F48">
        <f t="shared" si="0"/>
        <v>0</v>
      </c>
      <c r="G48">
        <f t="shared" si="1"/>
        <v>0</v>
      </c>
      <c r="H48">
        <f t="shared" si="2"/>
        <v>0</v>
      </c>
      <c r="I48">
        <v>50043.65</v>
      </c>
      <c r="J48">
        <v>3804</v>
      </c>
      <c r="K48">
        <v>0.113</v>
      </c>
      <c r="L48">
        <v>11</v>
      </c>
      <c r="M48">
        <v>90.9</v>
      </c>
      <c r="N48">
        <v>2.7</v>
      </c>
      <c r="O48">
        <v>1</v>
      </c>
      <c r="P48">
        <v>3.2</v>
      </c>
      <c r="Q48">
        <v>614800.09</v>
      </c>
      <c r="R48">
        <v>100044.2</v>
      </c>
    </row>
    <row r="49" spans="1:18">
      <c r="A49" s="3" t="s">
        <v>33</v>
      </c>
      <c r="B49" s="2">
        <v>45748</v>
      </c>
      <c r="C49" t="s">
        <v>27</v>
      </c>
      <c r="D49" t="s">
        <v>16</v>
      </c>
      <c r="E49">
        <f>IF(D49="Residential",1,0)</f>
        <v>1</v>
      </c>
      <c r="F49">
        <f t="shared" si="0"/>
        <v>0</v>
      </c>
      <c r="G49">
        <f t="shared" si="1"/>
        <v>0</v>
      </c>
      <c r="H49">
        <f t="shared" si="2"/>
        <v>0</v>
      </c>
      <c r="I49">
        <v>42093.84</v>
      </c>
      <c r="J49">
        <v>4074</v>
      </c>
      <c r="K49">
        <v>0.155</v>
      </c>
      <c r="L49">
        <v>15</v>
      </c>
      <c r="M49">
        <v>88</v>
      </c>
      <c r="N49">
        <v>9.64</v>
      </c>
      <c r="O49">
        <v>0</v>
      </c>
      <c r="P49">
        <v>3.3</v>
      </c>
      <c r="Q49">
        <v>585365.73</v>
      </c>
      <c r="R49">
        <v>81011.520000000004</v>
      </c>
    </row>
    <row r="50" spans="1:18">
      <c r="A50" s="3" t="s">
        <v>34</v>
      </c>
      <c r="B50" s="2">
        <v>45658</v>
      </c>
      <c r="C50" t="s">
        <v>20</v>
      </c>
      <c r="D50" t="s">
        <v>28</v>
      </c>
      <c r="E50">
        <f>IF(D50="Residential",1,0)</f>
        <v>0</v>
      </c>
      <c r="F50">
        <f t="shared" si="0"/>
        <v>0</v>
      </c>
      <c r="G50">
        <f t="shared" si="1"/>
        <v>0</v>
      </c>
      <c r="H50">
        <f t="shared" si="2"/>
        <v>1</v>
      </c>
      <c r="I50">
        <v>46624.05</v>
      </c>
      <c r="J50">
        <v>5104</v>
      </c>
      <c r="K50">
        <v>0.109</v>
      </c>
      <c r="L50">
        <v>11</v>
      </c>
      <c r="M50">
        <v>97.3</v>
      </c>
      <c r="N50">
        <v>3.49</v>
      </c>
      <c r="O50">
        <v>1</v>
      </c>
      <c r="P50">
        <v>4.7</v>
      </c>
      <c r="Q50">
        <v>622811.74</v>
      </c>
      <c r="R50">
        <v>109978.35</v>
      </c>
    </row>
    <row r="51" spans="1:18">
      <c r="A51" s="3" t="s">
        <v>34</v>
      </c>
      <c r="B51" s="2">
        <v>45689</v>
      </c>
      <c r="C51" t="s">
        <v>20</v>
      </c>
      <c r="D51" t="s">
        <v>28</v>
      </c>
      <c r="E51">
        <f>IF(D51="Residential",1,0)</f>
        <v>0</v>
      </c>
      <c r="F51">
        <f t="shared" si="0"/>
        <v>0</v>
      </c>
      <c r="G51">
        <f t="shared" si="1"/>
        <v>0</v>
      </c>
      <c r="H51">
        <f t="shared" si="2"/>
        <v>1</v>
      </c>
      <c r="I51">
        <v>49710.29</v>
      </c>
      <c r="J51">
        <v>5559</v>
      </c>
      <c r="K51">
        <v>0.218</v>
      </c>
      <c r="L51">
        <v>14</v>
      </c>
      <c r="M51">
        <v>71</v>
      </c>
      <c r="N51">
        <v>9.11</v>
      </c>
      <c r="O51">
        <v>0</v>
      </c>
      <c r="P51">
        <v>4.5999999999999996</v>
      </c>
      <c r="Q51">
        <v>603297.56999999995</v>
      </c>
      <c r="R51">
        <v>60592.26</v>
      </c>
    </row>
    <row r="52" spans="1:18">
      <c r="A52" s="3" t="s">
        <v>34</v>
      </c>
      <c r="B52" s="2">
        <v>45717</v>
      </c>
      <c r="C52" t="s">
        <v>20</v>
      </c>
      <c r="D52" t="s">
        <v>28</v>
      </c>
      <c r="E52">
        <f>IF(D52="Residential",1,0)</f>
        <v>0</v>
      </c>
      <c r="F52">
        <f t="shared" si="0"/>
        <v>0</v>
      </c>
      <c r="G52">
        <f t="shared" si="1"/>
        <v>0</v>
      </c>
      <c r="H52">
        <f t="shared" si="2"/>
        <v>1</v>
      </c>
      <c r="I52">
        <v>48287.85</v>
      </c>
      <c r="J52">
        <v>5150</v>
      </c>
      <c r="K52">
        <v>8.0000000000000002E-3</v>
      </c>
      <c r="L52">
        <v>12</v>
      </c>
      <c r="M52">
        <v>80.400000000000006</v>
      </c>
      <c r="N52">
        <v>7.4</v>
      </c>
      <c r="O52">
        <v>0</v>
      </c>
      <c r="P52">
        <v>4.5</v>
      </c>
      <c r="Q52">
        <v>625672.86</v>
      </c>
      <c r="R52">
        <v>118020.12</v>
      </c>
    </row>
    <row r="53" spans="1:18">
      <c r="A53" s="3" t="s">
        <v>34</v>
      </c>
      <c r="B53" s="2">
        <v>45748</v>
      </c>
      <c r="C53" t="s">
        <v>20</v>
      </c>
      <c r="D53" t="s">
        <v>28</v>
      </c>
      <c r="E53">
        <f>IF(D53="Residential",1,0)</f>
        <v>0</v>
      </c>
      <c r="F53">
        <f t="shared" si="0"/>
        <v>0</v>
      </c>
      <c r="G53">
        <f t="shared" si="1"/>
        <v>0</v>
      </c>
      <c r="H53">
        <f t="shared" si="2"/>
        <v>1</v>
      </c>
      <c r="I53">
        <v>65312.49</v>
      </c>
      <c r="J53">
        <v>7189</v>
      </c>
      <c r="K53">
        <v>0.05</v>
      </c>
      <c r="L53">
        <v>19</v>
      </c>
      <c r="M53">
        <v>93.7</v>
      </c>
      <c r="N53">
        <v>7.16</v>
      </c>
      <c r="O53">
        <v>0</v>
      </c>
      <c r="P53">
        <v>4.5999999999999996</v>
      </c>
      <c r="Q53">
        <v>773815.14</v>
      </c>
      <c r="R53">
        <v>133948.39000000001</v>
      </c>
    </row>
    <row r="54" spans="1:18">
      <c r="A54" s="3" t="s">
        <v>35</v>
      </c>
      <c r="B54" s="2">
        <v>45658</v>
      </c>
      <c r="C54" t="s">
        <v>27</v>
      </c>
      <c r="D54" t="s">
        <v>18</v>
      </c>
      <c r="E54">
        <f>IF(D54="Residential",1,0)</f>
        <v>0</v>
      </c>
      <c r="F54">
        <f t="shared" si="0"/>
        <v>1</v>
      </c>
      <c r="G54">
        <f t="shared" si="1"/>
        <v>0</v>
      </c>
      <c r="H54">
        <f t="shared" si="2"/>
        <v>0</v>
      </c>
      <c r="I54">
        <v>53015.46</v>
      </c>
      <c r="J54">
        <v>3279</v>
      </c>
      <c r="K54">
        <v>8.6999999999999994E-2</v>
      </c>
      <c r="L54">
        <v>9</v>
      </c>
      <c r="M54">
        <v>84.3</v>
      </c>
      <c r="N54">
        <v>22.02</v>
      </c>
      <c r="O54">
        <v>0</v>
      </c>
      <c r="P54">
        <v>3.9</v>
      </c>
      <c r="Q54">
        <v>463534.25</v>
      </c>
      <c r="R54">
        <v>81834.539999999994</v>
      </c>
    </row>
    <row r="55" spans="1:18">
      <c r="A55" s="3" t="s">
        <v>35</v>
      </c>
      <c r="B55" s="2">
        <v>45689</v>
      </c>
      <c r="C55" t="s">
        <v>27</v>
      </c>
      <c r="D55" t="s">
        <v>18</v>
      </c>
      <c r="E55">
        <f>IF(D55="Residential",1,0)</f>
        <v>0</v>
      </c>
      <c r="F55">
        <f t="shared" si="0"/>
        <v>1</v>
      </c>
      <c r="G55">
        <f t="shared" si="1"/>
        <v>0</v>
      </c>
      <c r="H55">
        <f t="shared" si="2"/>
        <v>0</v>
      </c>
      <c r="I55">
        <v>99874.01</v>
      </c>
      <c r="J55">
        <v>5887</v>
      </c>
      <c r="K55">
        <v>0.26200000000000001</v>
      </c>
      <c r="L55">
        <v>14</v>
      </c>
      <c r="M55">
        <v>88.7</v>
      </c>
      <c r="N55">
        <v>6.18</v>
      </c>
      <c r="O55">
        <v>0</v>
      </c>
      <c r="P55">
        <v>4.7</v>
      </c>
      <c r="Q55">
        <v>746677.75</v>
      </c>
      <c r="R55">
        <v>122437.84</v>
      </c>
    </row>
    <row r="56" spans="1:18">
      <c r="A56" s="3" t="s">
        <v>35</v>
      </c>
      <c r="B56" s="2">
        <v>45717</v>
      </c>
      <c r="C56" t="s">
        <v>27</v>
      </c>
      <c r="D56" t="s">
        <v>18</v>
      </c>
      <c r="E56">
        <f>IF(D56="Residential",1,0)</f>
        <v>0</v>
      </c>
      <c r="F56">
        <f t="shared" si="0"/>
        <v>1</v>
      </c>
      <c r="G56">
        <f t="shared" si="1"/>
        <v>0</v>
      </c>
      <c r="H56">
        <f t="shared" si="2"/>
        <v>0</v>
      </c>
      <c r="I56">
        <v>81195.5</v>
      </c>
      <c r="J56">
        <v>5516</v>
      </c>
      <c r="K56">
        <v>0.106</v>
      </c>
      <c r="L56">
        <v>14</v>
      </c>
      <c r="M56">
        <v>88</v>
      </c>
      <c r="N56">
        <v>1.76</v>
      </c>
      <c r="O56">
        <v>0</v>
      </c>
      <c r="P56">
        <v>4.3</v>
      </c>
      <c r="Q56">
        <v>720852.5</v>
      </c>
      <c r="R56">
        <v>98565.62</v>
      </c>
    </row>
    <row r="57" spans="1:18">
      <c r="A57" s="3" t="s">
        <v>35</v>
      </c>
      <c r="B57" s="2">
        <v>45748</v>
      </c>
      <c r="C57" t="s">
        <v>27</v>
      </c>
      <c r="D57" t="s">
        <v>18</v>
      </c>
      <c r="E57">
        <f>IF(D57="Residential",1,0)</f>
        <v>0</v>
      </c>
      <c r="F57">
        <f t="shared" si="0"/>
        <v>1</v>
      </c>
      <c r="G57">
        <f t="shared" si="1"/>
        <v>0</v>
      </c>
      <c r="H57">
        <f t="shared" si="2"/>
        <v>0</v>
      </c>
      <c r="I57">
        <v>27808.6</v>
      </c>
      <c r="J57">
        <v>2863</v>
      </c>
      <c r="K57">
        <v>0.08</v>
      </c>
      <c r="L57">
        <v>13</v>
      </c>
      <c r="M57">
        <v>89.3</v>
      </c>
      <c r="N57">
        <v>0.47</v>
      </c>
      <c r="O57">
        <v>0</v>
      </c>
      <c r="P57">
        <v>4.0999999999999996</v>
      </c>
      <c r="Q57">
        <v>487464.91</v>
      </c>
      <c r="R57">
        <v>64562.26</v>
      </c>
    </row>
    <row r="58" spans="1:18">
      <c r="A58" s="3" t="s">
        <v>36</v>
      </c>
      <c r="B58" s="2">
        <v>45658</v>
      </c>
      <c r="C58" t="s">
        <v>15</v>
      </c>
      <c r="D58" t="s">
        <v>21</v>
      </c>
      <c r="E58">
        <f>IF(D58="Residential",1,0)</f>
        <v>0</v>
      </c>
      <c r="F58">
        <f t="shared" si="0"/>
        <v>0</v>
      </c>
      <c r="G58">
        <f t="shared" si="1"/>
        <v>1</v>
      </c>
      <c r="H58">
        <f t="shared" si="2"/>
        <v>0</v>
      </c>
      <c r="I58">
        <v>19365.060000000001</v>
      </c>
      <c r="J58">
        <v>2378</v>
      </c>
      <c r="K58">
        <v>0</v>
      </c>
      <c r="L58">
        <v>12</v>
      </c>
      <c r="M58">
        <v>94.8</v>
      </c>
      <c r="N58">
        <v>0.2</v>
      </c>
      <c r="O58">
        <v>0</v>
      </c>
      <c r="P58">
        <v>3.5</v>
      </c>
      <c r="Q58">
        <v>518049.26</v>
      </c>
      <c r="R58">
        <v>108592.49</v>
      </c>
    </row>
    <row r="59" spans="1:18">
      <c r="A59" s="3" t="s">
        <v>36</v>
      </c>
      <c r="B59" s="2">
        <v>45689</v>
      </c>
      <c r="C59" t="s">
        <v>15</v>
      </c>
      <c r="D59" t="s">
        <v>21</v>
      </c>
      <c r="E59">
        <f>IF(D59="Residential",1,0)</f>
        <v>0</v>
      </c>
      <c r="F59">
        <f t="shared" si="0"/>
        <v>0</v>
      </c>
      <c r="G59">
        <f t="shared" si="1"/>
        <v>1</v>
      </c>
      <c r="H59">
        <f t="shared" si="2"/>
        <v>0</v>
      </c>
      <c r="I59">
        <v>59405.68</v>
      </c>
      <c r="J59">
        <v>2515</v>
      </c>
      <c r="K59">
        <v>3.9E-2</v>
      </c>
      <c r="L59">
        <v>12</v>
      </c>
      <c r="M59">
        <v>76</v>
      </c>
      <c r="N59">
        <v>5.1100000000000003</v>
      </c>
      <c r="O59">
        <v>0</v>
      </c>
      <c r="P59">
        <v>3.7</v>
      </c>
      <c r="Q59">
        <v>500298.48</v>
      </c>
      <c r="R59">
        <v>73461.320000000007</v>
      </c>
    </row>
    <row r="60" spans="1:18">
      <c r="A60" s="3" t="s">
        <v>36</v>
      </c>
      <c r="B60" s="2">
        <v>45717</v>
      </c>
      <c r="C60" t="s">
        <v>15</v>
      </c>
      <c r="D60" t="s">
        <v>21</v>
      </c>
      <c r="E60">
        <f>IF(D60="Residential",1,0)</f>
        <v>0</v>
      </c>
      <c r="F60">
        <f t="shared" si="0"/>
        <v>0</v>
      </c>
      <c r="G60">
        <f t="shared" si="1"/>
        <v>1</v>
      </c>
      <c r="H60">
        <f t="shared" si="2"/>
        <v>0</v>
      </c>
      <c r="I60">
        <v>118910.48</v>
      </c>
      <c r="J60">
        <v>4022</v>
      </c>
      <c r="K60">
        <v>0.13700000000000001</v>
      </c>
      <c r="L60">
        <v>11</v>
      </c>
      <c r="M60">
        <v>87.1</v>
      </c>
      <c r="N60">
        <v>0.2</v>
      </c>
      <c r="O60">
        <v>0</v>
      </c>
      <c r="P60">
        <v>3.1</v>
      </c>
      <c r="Q60">
        <v>617291.15</v>
      </c>
      <c r="R60">
        <v>117782</v>
      </c>
    </row>
    <row r="61" spans="1:18">
      <c r="A61" s="3" t="s">
        <v>36</v>
      </c>
      <c r="B61" s="2">
        <v>45748</v>
      </c>
      <c r="C61" t="s">
        <v>15</v>
      </c>
      <c r="D61" t="s">
        <v>21</v>
      </c>
      <c r="E61">
        <f>IF(D61="Residential",1,0)</f>
        <v>0</v>
      </c>
      <c r="F61">
        <f t="shared" si="0"/>
        <v>0</v>
      </c>
      <c r="G61">
        <f t="shared" si="1"/>
        <v>1</v>
      </c>
      <c r="H61">
        <f t="shared" si="2"/>
        <v>0</v>
      </c>
      <c r="I61">
        <v>52952.12</v>
      </c>
      <c r="J61">
        <v>4377</v>
      </c>
      <c r="K61">
        <v>9.1999999999999998E-2</v>
      </c>
      <c r="L61">
        <v>14</v>
      </c>
      <c r="M61">
        <v>88.6</v>
      </c>
      <c r="N61">
        <v>13.59</v>
      </c>
      <c r="O61">
        <v>0</v>
      </c>
      <c r="P61">
        <v>3.1</v>
      </c>
      <c r="Q61">
        <v>553756.43000000005</v>
      </c>
      <c r="R61">
        <v>86166.77</v>
      </c>
    </row>
    <row r="62" spans="1:18">
      <c r="A62" s="3" t="s">
        <v>37</v>
      </c>
      <c r="B62" s="2">
        <v>45658</v>
      </c>
      <c r="C62" t="s">
        <v>24</v>
      </c>
      <c r="D62" t="s">
        <v>18</v>
      </c>
      <c r="E62">
        <f>IF(D62="Residential",1,0)</f>
        <v>0</v>
      </c>
      <c r="F62">
        <f t="shared" si="0"/>
        <v>1</v>
      </c>
      <c r="G62">
        <f t="shared" si="1"/>
        <v>0</v>
      </c>
      <c r="H62">
        <f t="shared" si="2"/>
        <v>0</v>
      </c>
      <c r="I62">
        <v>74907.98</v>
      </c>
      <c r="J62">
        <v>5306</v>
      </c>
      <c r="K62">
        <v>6.2E-2</v>
      </c>
      <c r="L62">
        <v>16</v>
      </c>
      <c r="M62">
        <v>95.6</v>
      </c>
      <c r="N62">
        <v>1.02</v>
      </c>
      <c r="O62">
        <v>0</v>
      </c>
      <c r="P62">
        <v>3.7</v>
      </c>
      <c r="Q62">
        <v>749559.71</v>
      </c>
      <c r="R62">
        <v>144522.53</v>
      </c>
    </row>
    <row r="63" spans="1:18">
      <c r="A63" s="3" t="s">
        <v>37</v>
      </c>
      <c r="B63" s="2">
        <v>45689</v>
      </c>
      <c r="C63" t="s">
        <v>24</v>
      </c>
      <c r="D63" t="s">
        <v>18</v>
      </c>
      <c r="E63">
        <f>IF(D63="Residential",1,0)</f>
        <v>0</v>
      </c>
      <c r="F63">
        <f t="shared" si="0"/>
        <v>1</v>
      </c>
      <c r="G63">
        <f t="shared" si="1"/>
        <v>0</v>
      </c>
      <c r="H63">
        <f t="shared" si="2"/>
        <v>0</v>
      </c>
      <c r="I63">
        <v>37284.660000000003</v>
      </c>
      <c r="J63">
        <v>3928</v>
      </c>
      <c r="K63">
        <v>7.3999999999999996E-2</v>
      </c>
      <c r="L63">
        <v>12</v>
      </c>
      <c r="M63">
        <v>86.5</v>
      </c>
      <c r="N63">
        <v>1.64</v>
      </c>
      <c r="O63">
        <v>0</v>
      </c>
      <c r="P63">
        <v>3.8</v>
      </c>
      <c r="Q63">
        <v>615966.48</v>
      </c>
      <c r="R63">
        <v>91509.38</v>
      </c>
    </row>
    <row r="64" spans="1:18">
      <c r="A64" s="3" t="s">
        <v>37</v>
      </c>
      <c r="B64" s="2">
        <v>45717</v>
      </c>
      <c r="C64" t="s">
        <v>24</v>
      </c>
      <c r="D64" t="s">
        <v>18</v>
      </c>
      <c r="E64">
        <f>IF(D64="Residential",1,0)</f>
        <v>0</v>
      </c>
      <c r="F64">
        <f t="shared" si="0"/>
        <v>1</v>
      </c>
      <c r="G64">
        <f t="shared" si="1"/>
        <v>0</v>
      </c>
      <c r="H64">
        <f t="shared" si="2"/>
        <v>0</v>
      </c>
      <c r="I64">
        <v>50343.19</v>
      </c>
      <c r="J64">
        <v>3845</v>
      </c>
      <c r="K64">
        <v>0.113</v>
      </c>
      <c r="L64">
        <v>9</v>
      </c>
      <c r="M64">
        <v>88.7</v>
      </c>
      <c r="N64">
        <v>5.15</v>
      </c>
      <c r="O64">
        <v>0</v>
      </c>
      <c r="P64">
        <v>3.3</v>
      </c>
      <c r="Q64">
        <v>572011.19999999995</v>
      </c>
      <c r="R64">
        <v>101409.68</v>
      </c>
    </row>
    <row r="65" spans="1:18">
      <c r="A65" s="3" t="s">
        <v>37</v>
      </c>
      <c r="B65" s="2">
        <v>45748</v>
      </c>
      <c r="C65" t="s">
        <v>24</v>
      </c>
      <c r="D65" t="s">
        <v>18</v>
      </c>
      <c r="E65">
        <f>IF(D65="Residential",1,0)</f>
        <v>0</v>
      </c>
      <c r="F65">
        <f t="shared" si="0"/>
        <v>1</v>
      </c>
      <c r="G65">
        <f t="shared" si="1"/>
        <v>0</v>
      </c>
      <c r="H65">
        <f t="shared" si="2"/>
        <v>0</v>
      </c>
      <c r="I65">
        <v>74954.47</v>
      </c>
      <c r="J65">
        <v>6620</v>
      </c>
      <c r="K65">
        <v>5.3999999999999999E-2</v>
      </c>
      <c r="L65">
        <v>17</v>
      </c>
      <c r="M65">
        <v>91.1</v>
      </c>
      <c r="N65">
        <v>1.1100000000000001</v>
      </c>
      <c r="O65">
        <v>0</v>
      </c>
      <c r="P65">
        <v>3.5</v>
      </c>
      <c r="Q65">
        <v>761860.19</v>
      </c>
      <c r="R65">
        <v>133279.38</v>
      </c>
    </row>
    <row r="66" spans="1:18">
      <c r="A66" s="3" t="s">
        <v>38</v>
      </c>
      <c r="B66" s="2">
        <v>45658</v>
      </c>
      <c r="C66" t="s">
        <v>27</v>
      </c>
      <c r="D66" t="s">
        <v>18</v>
      </c>
      <c r="E66">
        <f>IF(D66="Residential",1,0)</f>
        <v>0</v>
      </c>
      <c r="F66">
        <f t="shared" si="0"/>
        <v>1</v>
      </c>
      <c r="G66">
        <f t="shared" si="1"/>
        <v>0</v>
      </c>
      <c r="H66">
        <f t="shared" si="2"/>
        <v>0</v>
      </c>
      <c r="I66">
        <v>70040.31</v>
      </c>
      <c r="J66">
        <v>9175</v>
      </c>
      <c r="K66">
        <v>0.107</v>
      </c>
      <c r="L66">
        <v>23</v>
      </c>
      <c r="M66">
        <v>95.1</v>
      </c>
      <c r="N66">
        <v>6.08</v>
      </c>
      <c r="O66">
        <v>1</v>
      </c>
      <c r="P66">
        <v>3.4</v>
      </c>
      <c r="Q66">
        <v>784502.68</v>
      </c>
      <c r="R66">
        <v>129519.72</v>
      </c>
    </row>
    <row r="67" spans="1:18">
      <c r="A67" s="3" t="s">
        <v>38</v>
      </c>
      <c r="B67" s="2">
        <v>45689</v>
      </c>
      <c r="C67" t="s">
        <v>27</v>
      </c>
      <c r="D67" t="s">
        <v>18</v>
      </c>
      <c r="E67">
        <f>IF(D67="Residential",1,0)</f>
        <v>0</v>
      </c>
      <c r="F67">
        <f t="shared" ref="F67:T130" si="3">IF($D67="High street",1,0)</f>
        <v>1</v>
      </c>
      <c r="G67">
        <f t="shared" ref="G67:U130" si="4">IF($D67="Airport",1,0)</f>
        <v>0</v>
      </c>
      <c r="H67">
        <f t="shared" ref="H67:V130" si="5">IF($D67="Mall",1,0)</f>
        <v>0</v>
      </c>
      <c r="I67">
        <v>51148.69</v>
      </c>
      <c r="J67">
        <v>7940</v>
      </c>
      <c r="K67">
        <v>0.156</v>
      </c>
      <c r="L67">
        <v>18</v>
      </c>
      <c r="M67">
        <v>93.3</v>
      </c>
      <c r="N67">
        <v>10.91</v>
      </c>
      <c r="O67">
        <v>0</v>
      </c>
      <c r="P67">
        <v>3.6</v>
      </c>
      <c r="Q67">
        <v>717141.55</v>
      </c>
      <c r="R67">
        <v>134013.60999999999</v>
      </c>
    </row>
    <row r="68" spans="1:18">
      <c r="A68" s="3" t="s">
        <v>38</v>
      </c>
      <c r="B68" s="2">
        <v>45717</v>
      </c>
      <c r="C68" t="s">
        <v>27</v>
      </c>
      <c r="D68" t="s">
        <v>18</v>
      </c>
      <c r="E68">
        <f>IF(D68="Residential",1,0)</f>
        <v>0</v>
      </c>
      <c r="F68">
        <f t="shared" si="3"/>
        <v>1</v>
      </c>
      <c r="G68">
        <f t="shared" si="4"/>
        <v>0</v>
      </c>
      <c r="H68">
        <f t="shared" si="5"/>
        <v>0</v>
      </c>
      <c r="I68">
        <v>79346.100000000006</v>
      </c>
      <c r="J68">
        <v>9628</v>
      </c>
      <c r="K68">
        <v>0.10199999999999999</v>
      </c>
      <c r="L68">
        <v>20</v>
      </c>
      <c r="M68">
        <v>99</v>
      </c>
      <c r="N68">
        <v>19.010000000000002</v>
      </c>
      <c r="O68">
        <v>1</v>
      </c>
      <c r="P68">
        <v>3.2</v>
      </c>
      <c r="Q68">
        <v>685379.08</v>
      </c>
      <c r="R68">
        <v>106898.82</v>
      </c>
    </row>
    <row r="69" spans="1:18">
      <c r="A69" s="3" t="s">
        <v>38</v>
      </c>
      <c r="B69" s="2">
        <v>45748</v>
      </c>
      <c r="C69" t="s">
        <v>27</v>
      </c>
      <c r="D69" t="s">
        <v>18</v>
      </c>
      <c r="E69">
        <f>IF(D69="Residential",1,0)</f>
        <v>0</v>
      </c>
      <c r="F69">
        <f t="shared" si="3"/>
        <v>1</v>
      </c>
      <c r="G69">
        <f t="shared" si="4"/>
        <v>0</v>
      </c>
      <c r="H69">
        <f t="shared" si="5"/>
        <v>0</v>
      </c>
      <c r="I69">
        <v>42018.400000000001</v>
      </c>
      <c r="J69">
        <v>8296</v>
      </c>
      <c r="K69">
        <v>0.115</v>
      </c>
      <c r="L69">
        <v>17</v>
      </c>
      <c r="M69">
        <v>91.8</v>
      </c>
      <c r="N69">
        <v>0.77</v>
      </c>
      <c r="O69">
        <v>0</v>
      </c>
      <c r="P69">
        <v>3.4</v>
      </c>
      <c r="Q69">
        <v>740496.65</v>
      </c>
      <c r="R69">
        <v>128020.9</v>
      </c>
    </row>
    <row r="70" spans="1:18">
      <c r="A70" s="3" t="s">
        <v>39</v>
      </c>
      <c r="B70" s="2">
        <v>45658</v>
      </c>
      <c r="C70" t="s">
        <v>15</v>
      </c>
      <c r="D70" t="s">
        <v>18</v>
      </c>
      <c r="E70">
        <f>IF(D70="Residential",1,0)</f>
        <v>0</v>
      </c>
      <c r="F70">
        <f t="shared" si="3"/>
        <v>1</v>
      </c>
      <c r="G70">
        <f t="shared" si="4"/>
        <v>0</v>
      </c>
      <c r="H70">
        <f t="shared" si="5"/>
        <v>0</v>
      </c>
      <c r="I70">
        <v>70937.240000000005</v>
      </c>
      <c r="J70">
        <v>3595</v>
      </c>
      <c r="K70">
        <v>0.14099999999999999</v>
      </c>
      <c r="L70">
        <v>11</v>
      </c>
      <c r="M70">
        <v>88.9</v>
      </c>
      <c r="N70">
        <v>2.83</v>
      </c>
      <c r="O70">
        <v>1</v>
      </c>
      <c r="P70">
        <v>3.3</v>
      </c>
      <c r="Q70">
        <v>661927.14</v>
      </c>
      <c r="R70">
        <v>79218.570000000007</v>
      </c>
    </row>
    <row r="71" spans="1:18">
      <c r="A71" s="3" t="s">
        <v>39</v>
      </c>
      <c r="B71" s="2">
        <v>45689</v>
      </c>
      <c r="C71" t="s">
        <v>15</v>
      </c>
      <c r="D71" t="s">
        <v>18</v>
      </c>
      <c r="E71">
        <f>IF(D71="Residential",1,0)</f>
        <v>0</v>
      </c>
      <c r="F71">
        <f t="shared" si="3"/>
        <v>1</v>
      </c>
      <c r="G71">
        <f t="shared" si="4"/>
        <v>0</v>
      </c>
      <c r="H71">
        <f t="shared" si="5"/>
        <v>0</v>
      </c>
      <c r="I71">
        <v>36813.449999999997</v>
      </c>
      <c r="J71">
        <v>2834</v>
      </c>
      <c r="K71">
        <v>0.191</v>
      </c>
      <c r="L71">
        <v>11</v>
      </c>
      <c r="M71">
        <v>81.8</v>
      </c>
      <c r="N71">
        <v>2.33</v>
      </c>
      <c r="O71">
        <v>0</v>
      </c>
      <c r="P71">
        <v>3.3</v>
      </c>
      <c r="Q71">
        <v>479050.5</v>
      </c>
      <c r="R71">
        <v>53651.11</v>
      </c>
    </row>
    <row r="72" spans="1:18">
      <c r="A72" s="3" t="s">
        <v>39</v>
      </c>
      <c r="B72" s="2">
        <v>45717</v>
      </c>
      <c r="C72" t="s">
        <v>15</v>
      </c>
      <c r="D72" t="s">
        <v>18</v>
      </c>
      <c r="E72">
        <f>IF(D72="Residential",1,0)</f>
        <v>0</v>
      </c>
      <c r="F72">
        <f t="shared" si="3"/>
        <v>1</v>
      </c>
      <c r="G72">
        <f t="shared" si="4"/>
        <v>0</v>
      </c>
      <c r="H72">
        <f t="shared" si="5"/>
        <v>0</v>
      </c>
      <c r="I72">
        <v>60571.82</v>
      </c>
      <c r="J72">
        <v>3193</v>
      </c>
      <c r="K72">
        <v>0.19700000000000001</v>
      </c>
      <c r="L72">
        <v>7</v>
      </c>
      <c r="M72">
        <v>99</v>
      </c>
      <c r="N72">
        <v>1.43</v>
      </c>
      <c r="O72">
        <v>0</v>
      </c>
      <c r="P72">
        <v>3.2</v>
      </c>
      <c r="Q72">
        <v>605023.87</v>
      </c>
      <c r="R72">
        <v>98545.81</v>
      </c>
    </row>
    <row r="73" spans="1:18">
      <c r="A73" s="3" t="s">
        <v>39</v>
      </c>
      <c r="B73" s="2">
        <v>45748</v>
      </c>
      <c r="C73" t="s">
        <v>15</v>
      </c>
      <c r="D73" t="s">
        <v>18</v>
      </c>
      <c r="E73">
        <f>IF(D73="Residential",1,0)</f>
        <v>0</v>
      </c>
      <c r="F73">
        <f t="shared" si="3"/>
        <v>1</v>
      </c>
      <c r="G73">
        <f t="shared" si="4"/>
        <v>0</v>
      </c>
      <c r="H73">
        <f t="shared" si="5"/>
        <v>0</v>
      </c>
      <c r="I73">
        <v>55081.16</v>
      </c>
      <c r="J73">
        <v>5485</v>
      </c>
      <c r="K73">
        <v>3.5999999999999997E-2</v>
      </c>
      <c r="L73">
        <v>12</v>
      </c>
      <c r="M73">
        <v>88</v>
      </c>
      <c r="N73">
        <v>0</v>
      </c>
      <c r="O73">
        <v>0</v>
      </c>
      <c r="P73">
        <v>3.5</v>
      </c>
      <c r="Q73">
        <v>674774.09</v>
      </c>
      <c r="R73">
        <v>141917.59</v>
      </c>
    </row>
    <row r="74" spans="1:18">
      <c r="A74" s="3" t="s">
        <v>40</v>
      </c>
      <c r="B74" s="2">
        <v>45658</v>
      </c>
      <c r="C74" t="s">
        <v>15</v>
      </c>
      <c r="D74" t="s">
        <v>16</v>
      </c>
      <c r="E74">
        <f>IF(D74="Residential",1,0)</f>
        <v>1</v>
      </c>
      <c r="F74">
        <f t="shared" si="3"/>
        <v>0</v>
      </c>
      <c r="G74">
        <f t="shared" si="4"/>
        <v>0</v>
      </c>
      <c r="H74">
        <f t="shared" si="5"/>
        <v>0</v>
      </c>
      <c r="I74">
        <v>46201.46</v>
      </c>
      <c r="J74">
        <v>5918</v>
      </c>
      <c r="K74">
        <v>0.27700000000000002</v>
      </c>
      <c r="L74">
        <v>13</v>
      </c>
      <c r="M74">
        <v>78.8</v>
      </c>
      <c r="N74">
        <v>4.91</v>
      </c>
      <c r="O74">
        <v>0</v>
      </c>
      <c r="P74">
        <v>4.5</v>
      </c>
      <c r="Q74">
        <v>616069.41</v>
      </c>
      <c r="R74">
        <v>54453.99</v>
      </c>
    </row>
    <row r="75" spans="1:18">
      <c r="A75" s="3" t="s">
        <v>40</v>
      </c>
      <c r="B75" s="2">
        <v>45689</v>
      </c>
      <c r="C75" t="s">
        <v>15</v>
      </c>
      <c r="D75" t="s">
        <v>16</v>
      </c>
      <c r="E75">
        <f>IF(D75="Residential",1,0)</f>
        <v>1</v>
      </c>
      <c r="F75">
        <f t="shared" si="3"/>
        <v>0</v>
      </c>
      <c r="G75">
        <f t="shared" si="4"/>
        <v>0</v>
      </c>
      <c r="H75">
        <f t="shared" si="5"/>
        <v>0</v>
      </c>
      <c r="I75">
        <v>53762.92</v>
      </c>
      <c r="J75">
        <v>6821</v>
      </c>
      <c r="K75">
        <v>6.6000000000000003E-2</v>
      </c>
      <c r="L75">
        <v>19</v>
      </c>
      <c r="M75">
        <v>94.6</v>
      </c>
      <c r="N75">
        <v>7.03</v>
      </c>
      <c r="O75">
        <v>0</v>
      </c>
      <c r="P75">
        <v>4.4000000000000004</v>
      </c>
      <c r="Q75">
        <v>630829.93999999994</v>
      </c>
      <c r="R75">
        <v>117090.02</v>
      </c>
    </row>
    <row r="76" spans="1:18">
      <c r="A76" s="3" t="s">
        <v>40</v>
      </c>
      <c r="B76" s="2">
        <v>45717</v>
      </c>
      <c r="C76" t="s">
        <v>15</v>
      </c>
      <c r="D76" t="s">
        <v>16</v>
      </c>
      <c r="E76">
        <f>IF(D76="Residential",1,0)</f>
        <v>1</v>
      </c>
      <c r="F76">
        <f t="shared" si="3"/>
        <v>0</v>
      </c>
      <c r="G76">
        <f t="shared" si="4"/>
        <v>0</v>
      </c>
      <c r="H76">
        <f t="shared" si="5"/>
        <v>0</v>
      </c>
      <c r="I76">
        <v>70144.78</v>
      </c>
      <c r="J76">
        <v>6806</v>
      </c>
      <c r="K76">
        <v>0.17799999999999999</v>
      </c>
      <c r="L76">
        <v>20</v>
      </c>
      <c r="M76">
        <v>93.1</v>
      </c>
      <c r="N76">
        <v>0.28000000000000003</v>
      </c>
      <c r="O76">
        <v>1</v>
      </c>
      <c r="P76">
        <v>4.3</v>
      </c>
      <c r="Q76">
        <v>788087.68</v>
      </c>
      <c r="R76">
        <v>116803.42</v>
      </c>
    </row>
    <row r="77" spans="1:18">
      <c r="A77" s="3" t="s">
        <v>40</v>
      </c>
      <c r="B77" s="2">
        <v>45748</v>
      </c>
      <c r="C77" t="s">
        <v>15</v>
      </c>
      <c r="D77" t="s">
        <v>16</v>
      </c>
      <c r="E77">
        <f>IF(D77="Residential",1,0)</f>
        <v>1</v>
      </c>
      <c r="F77">
        <f t="shared" si="3"/>
        <v>0</v>
      </c>
      <c r="G77">
        <f t="shared" si="4"/>
        <v>0</v>
      </c>
      <c r="H77">
        <f t="shared" si="5"/>
        <v>0</v>
      </c>
      <c r="I77">
        <v>58749.63</v>
      </c>
      <c r="J77">
        <v>8252</v>
      </c>
      <c r="K77">
        <v>0.20300000000000001</v>
      </c>
      <c r="L77">
        <v>20</v>
      </c>
      <c r="M77">
        <v>85.2</v>
      </c>
      <c r="N77">
        <v>3.61</v>
      </c>
      <c r="O77">
        <v>0</v>
      </c>
      <c r="P77">
        <v>4.5</v>
      </c>
      <c r="Q77">
        <v>680840.36</v>
      </c>
      <c r="R77">
        <v>68007.679999999993</v>
      </c>
    </row>
    <row r="78" spans="1:18">
      <c r="A78" s="3" t="s">
        <v>41</v>
      </c>
      <c r="B78" s="2">
        <v>45658</v>
      </c>
      <c r="C78" t="s">
        <v>24</v>
      </c>
      <c r="D78" t="s">
        <v>18</v>
      </c>
      <c r="E78">
        <f>IF(D78="Residential",1,0)</f>
        <v>0</v>
      </c>
      <c r="F78">
        <f t="shared" si="3"/>
        <v>1</v>
      </c>
      <c r="G78">
        <f t="shared" si="4"/>
        <v>0</v>
      </c>
      <c r="H78">
        <f t="shared" si="5"/>
        <v>0</v>
      </c>
      <c r="I78">
        <v>56973.18</v>
      </c>
      <c r="J78">
        <v>6662</v>
      </c>
      <c r="K78">
        <v>0.1</v>
      </c>
      <c r="L78">
        <v>15</v>
      </c>
      <c r="M78">
        <v>77.7</v>
      </c>
      <c r="N78">
        <v>7.52</v>
      </c>
      <c r="O78">
        <v>1</v>
      </c>
      <c r="P78">
        <v>3.2</v>
      </c>
      <c r="Q78">
        <v>643657.47</v>
      </c>
      <c r="R78">
        <v>87022.45</v>
      </c>
    </row>
    <row r="79" spans="1:18">
      <c r="A79" s="3" t="s">
        <v>41</v>
      </c>
      <c r="B79" s="2">
        <v>45689</v>
      </c>
      <c r="C79" t="s">
        <v>24</v>
      </c>
      <c r="D79" t="s">
        <v>18</v>
      </c>
      <c r="E79">
        <f>IF(D79="Residential",1,0)</f>
        <v>0</v>
      </c>
      <c r="F79">
        <f t="shared" si="3"/>
        <v>1</v>
      </c>
      <c r="G79">
        <f t="shared" si="4"/>
        <v>0</v>
      </c>
      <c r="H79">
        <f t="shared" si="5"/>
        <v>0</v>
      </c>
      <c r="I79">
        <v>54872.82</v>
      </c>
      <c r="J79">
        <v>5962</v>
      </c>
      <c r="K79">
        <v>6.4000000000000001E-2</v>
      </c>
      <c r="L79">
        <v>12</v>
      </c>
      <c r="M79">
        <v>85.4</v>
      </c>
      <c r="N79">
        <v>2.58</v>
      </c>
      <c r="O79">
        <v>0</v>
      </c>
      <c r="P79">
        <v>2.9</v>
      </c>
      <c r="Q79">
        <v>691112.6</v>
      </c>
      <c r="R79">
        <v>109212.83</v>
      </c>
    </row>
    <row r="80" spans="1:18">
      <c r="A80" s="3" t="s">
        <v>41</v>
      </c>
      <c r="B80" s="2">
        <v>45717</v>
      </c>
      <c r="C80" t="s">
        <v>24</v>
      </c>
      <c r="D80" t="s">
        <v>18</v>
      </c>
      <c r="E80">
        <f>IF(D80="Residential",1,0)</f>
        <v>0</v>
      </c>
      <c r="F80">
        <f t="shared" si="3"/>
        <v>1</v>
      </c>
      <c r="G80">
        <f t="shared" si="4"/>
        <v>0</v>
      </c>
      <c r="H80">
        <f t="shared" si="5"/>
        <v>0</v>
      </c>
      <c r="I80">
        <v>80562.81</v>
      </c>
      <c r="J80">
        <v>7470</v>
      </c>
      <c r="K80">
        <v>0.17199999999999999</v>
      </c>
      <c r="L80">
        <v>16</v>
      </c>
      <c r="M80">
        <v>83.5</v>
      </c>
      <c r="N80">
        <v>2.29</v>
      </c>
      <c r="O80">
        <v>0</v>
      </c>
      <c r="P80">
        <v>3.3</v>
      </c>
      <c r="Q80">
        <v>776922.17</v>
      </c>
      <c r="R80">
        <v>150701.93</v>
      </c>
    </row>
    <row r="81" spans="1:18">
      <c r="A81" s="3" t="s">
        <v>41</v>
      </c>
      <c r="B81" s="2">
        <v>45748</v>
      </c>
      <c r="C81" t="s">
        <v>24</v>
      </c>
      <c r="D81" t="s">
        <v>18</v>
      </c>
      <c r="E81">
        <f>IF(D81="Residential",1,0)</f>
        <v>0</v>
      </c>
      <c r="F81">
        <f t="shared" si="3"/>
        <v>1</v>
      </c>
      <c r="G81">
        <f t="shared" si="4"/>
        <v>0</v>
      </c>
      <c r="H81">
        <f t="shared" si="5"/>
        <v>0</v>
      </c>
      <c r="I81">
        <v>77999.899999999994</v>
      </c>
      <c r="J81">
        <v>5974</v>
      </c>
      <c r="K81">
        <v>0.252</v>
      </c>
      <c r="L81">
        <v>14</v>
      </c>
      <c r="M81">
        <v>81.3</v>
      </c>
      <c r="N81">
        <v>2.39</v>
      </c>
      <c r="O81">
        <v>0</v>
      </c>
      <c r="P81">
        <v>3.2</v>
      </c>
      <c r="Q81">
        <v>636561.34</v>
      </c>
      <c r="R81">
        <v>93861.06</v>
      </c>
    </row>
    <row r="82" spans="1:18">
      <c r="A82" s="3" t="s">
        <v>42</v>
      </c>
      <c r="B82" s="2">
        <v>45658</v>
      </c>
      <c r="C82" t="s">
        <v>27</v>
      </c>
      <c r="D82" t="s">
        <v>28</v>
      </c>
      <c r="E82">
        <f>IF(D82="Residential",1,0)</f>
        <v>0</v>
      </c>
      <c r="F82">
        <f t="shared" si="3"/>
        <v>0</v>
      </c>
      <c r="G82">
        <f t="shared" si="4"/>
        <v>0</v>
      </c>
      <c r="H82">
        <f t="shared" si="5"/>
        <v>1</v>
      </c>
      <c r="I82">
        <v>60881.01</v>
      </c>
      <c r="J82">
        <v>5410</v>
      </c>
      <c r="K82">
        <v>0.17899999999999999</v>
      </c>
      <c r="L82">
        <v>15</v>
      </c>
      <c r="M82">
        <v>83.9</v>
      </c>
      <c r="N82">
        <v>5.24</v>
      </c>
      <c r="O82">
        <v>0</v>
      </c>
      <c r="P82">
        <v>4.5999999999999996</v>
      </c>
      <c r="Q82">
        <v>621369.57999999996</v>
      </c>
      <c r="R82">
        <v>85493.64</v>
      </c>
    </row>
    <row r="83" spans="1:18">
      <c r="A83" s="3" t="s">
        <v>42</v>
      </c>
      <c r="B83" s="2">
        <v>45689</v>
      </c>
      <c r="C83" t="s">
        <v>27</v>
      </c>
      <c r="D83" t="s">
        <v>28</v>
      </c>
      <c r="E83">
        <f>IF(D83="Residential",1,0)</f>
        <v>0</v>
      </c>
      <c r="F83">
        <f t="shared" si="3"/>
        <v>0</v>
      </c>
      <c r="G83">
        <f t="shared" si="4"/>
        <v>0</v>
      </c>
      <c r="H83">
        <f t="shared" si="5"/>
        <v>1</v>
      </c>
      <c r="I83">
        <v>60628.38</v>
      </c>
      <c r="J83">
        <v>4451</v>
      </c>
      <c r="K83">
        <v>9.5000000000000001E-2</v>
      </c>
      <c r="L83">
        <v>10</v>
      </c>
      <c r="M83">
        <v>89.6</v>
      </c>
      <c r="N83">
        <v>3.17</v>
      </c>
      <c r="O83">
        <v>0</v>
      </c>
      <c r="P83">
        <v>4.5999999999999996</v>
      </c>
      <c r="Q83">
        <v>682208.01</v>
      </c>
      <c r="R83">
        <v>110318.84</v>
      </c>
    </row>
    <row r="84" spans="1:18">
      <c r="A84" s="3" t="s">
        <v>42</v>
      </c>
      <c r="B84" s="2">
        <v>45717</v>
      </c>
      <c r="C84" t="s">
        <v>27</v>
      </c>
      <c r="D84" t="s">
        <v>28</v>
      </c>
      <c r="E84">
        <f>IF(D84="Residential",1,0)</f>
        <v>0</v>
      </c>
      <c r="F84">
        <f t="shared" si="3"/>
        <v>0</v>
      </c>
      <c r="G84">
        <f t="shared" si="4"/>
        <v>0</v>
      </c>
      <c r="H84">
        <f t="shared" si="5"/>
        <v>1</v>
      </c>
      <c r="I84">
        <v>72731.14</v>
      </c>
      <c r="J84">
        <v>4644</v>
      </c>
      <c r="K84">
        <v>8.4000000000000005E-2</v>
      </c>
      <c r="L84">
        <v>15</v>
      </c>
      <c r="M84">
        <v>87.1</v>
      </c>
      <c r="N84">
        <v>2.66</v>
      </c>
      <c r="O84">
        <v>0</v>
      </c>
      <c r="P84">
        <v>4.5999999999999996</v>
      </c>
      <c r="Q84">
        <v>727241.86</v>
      </c>
      <c r="R84">
        <v>155810.29999999999</v>
      </c>
    </row>
    <row r="85" spans="1:18">
      <c r="A85" s="3" t="s">
        <v>42</v>
      </c>
      <c r="B85" s="2">
        <v>45748</v>
      </c>
      <c r="C85" t="s">
        <v>27</v>
      </c>
      <c r="D85" t="s">
        <v>28</v>
      </c>
      <c r="E85">
        <f>IF(D85="Residential",1,0)</f>
        <v>0</v>
      </c>
      <c r="F85">
        <f t="shared" si="3"/>
        <v>0</v>
      </c>
      <c r="G85">
        <f t="shared" si="4"/>
        <v>0</v>
      </c>
      <c r="H85">
        <f t="shared" si="5"/>
        <v>1</v>
      </c>
      <c r="I85">
        <v>36475.71</v>
      </c>
      <c r="J85">
        <v>3559</v>
      </c>
      <c r="K85">
        <v>0.03</v>
      </c>
      <c r="L85">
        <v>8</v>
      </c>
      <c r="M85">
        <v>83.6</v>
      </c>
      <c r="N85">
        <v>1.41</v>
      </c>
      <c r="O85">
        <v>0</v>
      </c>
      <c r="P85">
        <v>4.2</v>
      </c>
      <c r="Q85">
        <v>569100.78</v>
      </c>
      <c r="R85">
        <v>104808.78</v>
      </c>
    </row>
    <row r="86" spans="1:18">
      <c r="A86" s="3" t="s">
        <v>43</v>
      </c>
      <c r="B86" s="2">
        <v>45658</v>
      </c>
      <c r="C86" t="s">
        <v>27</v>
      </c>
      <c r="D86" t="s">
        <v>18</v>
      </c>
      <c r="E86">
        <f>IF(D86="Residential",1,0)</f>
        <v>0</v>
      </c>
      <c r="F86">
        <f t="shared" si="3"/>
        <v>1</v>
      </c>
      <c r="G86">
        <f t="shared" si="4"/>
        <v>0</v>
      </c>
      <c r="H86">
        <f t="shared" si="5"/>
        <v>0</v>
      </c>
      <c r="I86">
        <v>55388.11</v>
      </c>
      <c r="J86">
        <v>3091</v>
      </c>
      <c r="K86">
        <v>0.108</v>
      </c>
      <c r="L86">
        <v>7</v>
      </c>
      <c r="M86">
        <v>85.4</v>
      </c>
      <c r="N86">
        <v>7.34</v>
      </c>
      <c r="O86">
        <v>0</v>
      </c>
      <c r="P86">
        <v>4.9000000000000004</v>
      </c>
      <c r="Q86">
        <v>574436.29</v>
      </c>
      <c r="R86">
        <v>80271.990000000005</v>
      </c>
    </row>
    <row r="87" spans="1:18">
      <c r="A87" s="3" t="s">
        <v>43</v>
      </c>
      <c r="B87" s="2">
        <v>45689</v>
      </c>
      <c r="C87" t="s">
        <v>27</v>
      </c>
      <c r="D87" t="s">
        <v>18</v>
      </c>
      <c r="E87">
        <f>IF(D87="Residential",1,0)</f>
        <v>0</v>
      </c>
      <c r="F87">
        <f t="shared" si="3"/>
        <v>1</v>
      </c>
      <c r="G87">
        <f t="shared" si="4"/>
        <v>0</v>
      </c>
      <c r="H87">
        <f t="shared" si="5"/>
        <v>0</v>
      </c>
      <c r="I87">
        <v>88443.77</v>
      </c>
      <c r="J87">
        <v>4004</v>
      </c>
      <c r="K87">
        <v>0.20599999999999999</v>
      </c>
      <c r="L87">
        <v>11</v>
      </c>
      <c r="M87">
        <v>91.9</v>
      </c>
      <c r="N87">
        <v>5.95</v>
      </c>
      <c r="O87">
        <v>0</v>
      </c>
      <c r="P87">
        <v>0</v>
      </c>
      <c r="Q87">
        <v>611766.72</v>
      </c>
      <c r="R87">
        <v>88275.61</v>
      </c>
    </row>
    <row r="88" spans="1:18">
      <c r="A88" s="3" t="s">
        <v>43</v>
      </c>
      <c r="B88" s="2">
        <v>45717</v>
      </c>
      <c r="C88" t="s">
        <v>27</v>
      </c>
      <c r="D88" t="s">
        <v>18</v>
      </c>
      <c r="E88">
        <f>IF(D88="Residential",1,0)</f>
        <v>0</v>
      </c>
      <c r="F88">
        <f t="shared" si="3"/>
        <v>1</v>
      </c>
      <c r="G88">
        <f t="shared" si="4"/>
        <v>0</v>
      </c>
      <c r="H88">
        <f t="shared" si="5"/>
        <v>0</v>
      </c>
      <c r="I88">
        <v>78231.91</v>
      </c>
      <c r="J88">
        <v>3788</v>
      </c>
      <c r="K88">
        <v>5.8999999999999997E-2</v>
      </c>
      <c r="L88">
        <v>11</v>
      </c>
      <c r="M88">
        <v>88.5</v>
      </c>
      <c r="N88">
        <v>15.51</v>
      </c>
      <c r="O88">
        <v>0</v>
      </c>
      <c r="P88">
        <v>4.3</v>
      </c>
      <c r="Q88">
        <v>614596.31999999995</v>
      </c>
      <c r="R88">
        <v>131199.41</v>
      </c>
    </row>
    <row r="89" spans="1:18">
      <c r="A89" s="3" t="s">
        <v>43</v>
      </c>
      <c r="B89" s="2">
        <v>45748</v>
      </c>
      <c r="C89" t="s">
        <v>27</v>
      </c>
      <c r="D89" t="s">
        <v>18</v>
      </c>
      <c r="E89">
        <f>IF(D89="Residential",1,0)</f>
        <v>0</v>
      </c>
      <c r="F89">
        <f t="shared" si="3"/>
        <v>1</v>
      </c>
      <c r="G89">
        <f t="shared" si="4"/>
        <v>0</v>
      </c>
      <c r="H89">
        <f t="shared" si="5"/>
        <v>0</v>
      </c>
      <c r="I89">
        <v>18996.32</v>
      </c>
      <c r="J89">
        <v>1260</v>
      </c>
      <c r="K89">
        <v>0.14499999999999999</v>
      </c>
      <c r="L89">
        <v>9</v>
      </c>
      <c r="M89">
        <v>86.4</v>
      </c>
      <c r="N89">
        <v>4.3099999999999996</v>
      </c>
      <c r="O89">
        <v>0</v>
      </c>
      <c r="P89">
        <v>4.5999999999999996</v>
      </c>
      <c r="Q89">
        <v>450711.92</v>
      </c>
      <c r="R89">
        <v>90043.76</v>
      </c>
    </row>
    <row r="90" spans="1:18">
      <c r="A90" s="3" t="s">
        <v>44</v>
      </c>
      <c r="B90" s="2">
        <v>45658</v>
      </c>
      <c r="C90" t="s">
        <v>24</v>
      </c>
      <c r="D90" t="s">
        <v>28</v>
      </c>
      <c r="E90">
        <f>IF(D90="Residential",1,0)</f>
        <v>0</v>
      </c>
      <c r="F90">
        <f t="shared" si="3"/>
        <v>0</v>
      </c>
      <c r="G90">
        <f t="shared" si="4"/>
        <v>0</v>
      </c>
      <c r="H90">
        <f t="shared" si="5"/>
        <v>1</v>
      </c>
      <c r="I90">
        <v>50517.94</v>
      </c>
      <c r="J90">
        <v>7024</v>
      </c>
      <c r="K90">
        <v>2.9000000000000001E-2</v>
      </c>
      <c r="L90">
        <v>18</v>
      </c>
      <c r="M90">
        <v>79.2</v>
      </c>
      <c r="N90">
        <v>6.61</v>
      </c>
      <c r="O90">
        <v>1</v>
      </c>
      <c r="P90">
        <v>4.0999999999999996</v>
      </c>
      <c r="Q90">
        <v>711213.46</v>
      </c>
      <c r="R90">
        <v>105863.26</v>
      </c>
    </row>
    <row r="91" spans="1:18">
      <c r="A91" s="3" t="s">
        <v>44</v>
      </c>
      <c r="B91" s="2">
        <v>45689</v>
      </c>
      <c r="C91" t="s">
        <v>24</v>
      </c>
      <c r="D91" t="s">
        <v>28</v>
      </c>
      <c r="E91">
        <f>IF(D91="Residential",1,0)</f>
        <v>0</v>
      </c>
      <c r="F91">
        <f t="shared" si="3"/>
        <v>0</v>
      </c>
      <c r="G91">
        <f t="shared" si="4"/>
        <v>0</v>
      </c>
      <c r="H91">
        <f t="shared" si="5"/>
        <v>1</v>
      </c>
      <c r="I91">
        <v>141540.29</v>
      </c>
      <c r="J91">
        <v>5400</v>
      </c>
      <c r="K91">
        <v>1.2999999999999999E-2</v>
      </c>
      <c r="L91">
        <v>12</v>
      </c>
      <c r="M91">
        <v>87</v>
      </c>
      <c r="N91">
        <v>4.26</v>
      </c>
      <c r="O91">
        <v>0</v>
      </c>
      <c r="P91">
        <v>4.5</v>
      </c>
      <c r="Q91">
        <v>627171.9</v>
      </c>
      <c r="R91">
        <v>105772.75</v>
      </c>
    </row>
    <row r="92" spans="1:18">
      <c r="A92" s="3" t="s">
        <v>44</v>
      </c>
      <c r="B92" s="2">
        <v>45717</v>
      </c>
      <c r="C92" t="s">
        <v>24</v>
      </c>
      <c r="D92" t="s">
        <v>28</v>
      </c>
      <c r="E92">
        <f>IF(D92="Residential",1,0)</f>
        <v>0</v>
      </c>
      <c r="F92">
        <f t="shared" si="3"/>
        <v>0</v>
      </c>
      <c r="G92">
        <f t="shared" si="4"/>
        <v>0</v>
      </c>
      <c r="H92">
        <f t="shared" si="5"/>
        <v>1</v>
      </c>
      <c r="I92">
        <v>82116.19</v>
      </c>
      <c r="J92">
        <v>5988</v>
      </c>
      <c r="K92">
        <v>0.04</v>
      </c>
      <c r="L92">
        <v>17</v>
      </c>
      <c r="M92">
        <v>91.8</v>
      </c>
      <c r="N92">
        <v>5.75</v>
      </c>
      <c r="O92">
        <v>0</v>
      </c>
      <c r="P92">
        <v>4.7</v>
      </c>
      <c r="Q92">
        <v>739852.58</v>
      </c>
      <c r="R92">
        <v>129386.43</v>
      </c>
    </row>
    <row r="93" spans="1:18">
      <c r="A93" s="3" t="s">
        <v>44</v>
      </c>
      <c r="B93" s="2">
        <v>45748</v>
      </c>
      <c r="C93" t="s">
        <v>24</v>
      </c>
      <c r="D93" t="s">
        <v>28</v>
      </c>
      <c r="E93">
        <f>IF(D93="Residential",1,0)</f>
        <v>0</v>
      </c>
      <c r="F93">
        <f t="shared" si="3"/>
        <v>0</v>
      </c>
      <c r="G93">
        <f t="shared" si="4"/>
        <v>0</v>
      </c>
      <c r="H93">
        <f t="shared" si="5"/>
        <v>1</v>
      </c>
      <c r="I93">
        <v>31207.51</v>
      </c>
      <c r="J93">
        <v>3701</v>
      </c>
      <c r="K93">
        <v>4.2999999999999997E-2</v>
      </c>
      <c r="L93">
        <v>11</v>
      </c>
      <c r="M93">
        <v>84.7</v>
      </c>
      <c r="N93">
        <v>0.33</v>
      </c>
      <c r="O93">
        <v>0</v>
      </c>
      <c r="P93">
        <v>4.3</v>
      </c>
      <c r="Q93">
        <v>586307.22</v>
      </c>
      <c r="R93">
        <v>73927.850000000006</v>
      </c>
    </row>
    <row r="94" spans="1:18">
      <c r="A94" s="3" t="s">
        <v>45</v>
      </c>
      <c r="B94" s="2">
        <v>45658</v>
      </c>
      <c r="C94" t="s">
        <v>27</v>
      </c>
      <c r="D94" t="s">
        <v>16</v>
      </c>
      <c r="E94">
        <f>IF(D94="Residential",1,0)</f>
        <v>1</v>
      </c>
      <c r="F94">
        <f t="shared" si="3"/>
        <v>0</v>
      </c>
      <c r="G94">
        <f t="shared" si="4"/>
        <v>0</v>
      </c>
      <c r="H94">
        <f t="shared" si="5"/>
        <v>0</v>
      </c>
      <c r="I94">
        <v>38966.589999999997</v>
      </c>
      <c r="J94">
        <v>4509</v>
      </c>
      <c r="K94">
        <v>0.19400000000000001</v>
      </c>
      <c r="L94">
        <v>14</v>
      </c>
      <c r="M94">
        <v>91.1</v>
      </c>
      <c r="N94">
        <v>2.92</v>
      </c>
      <c r="O94">
        <v>0</v>
      </c>
      <c r="P94">
        <v>4.5999999999999996</v>
      </c>
      <c r="Q94">
        <v>585937.48</v>
      </c>
      <c r="R94">
        <v>82624.2</v>
      </c>
    </row>
    <row r="95" spans="1:18">
      <c r="A95" s="3" t="s">
        <v>45</v>
      </c>
      <c r="B95" s="2">
        <v>45689</v>
      </c>
      <c r="C95" t="s">
        <v>27</v>
      </c>
      <c r="D95" t="s">
        <v>16</v>
      </c>
      <c r="E95">
        <f>IF(D95="Residential",1,0)</f>
        <v>1</v>
      </c>
      <c r="F95">
        <f t="shared" si="3"/>
        <v>0</v>
      </c>
      <c r="G95">
        <f t="shared" si="4"/>
        <v>0</v>
      </c>
      <c r="H95">
        <f t="shared" si="5"/>
        <v>0</v>
      </c>
      <c r="I95">
        <v>67439.3</v>
      </c>
      <c r="J95">
        <v>6477</v>
      </c>
      <c r="K95">
        <v>0</v>
      </c>
      <c r="L95">
        <v>16</v>
      </c>
      <c r="M95">
        <v>90.9</v>
      </c>
      <c r="N95">
        <v>1.64</v>
      </c>
      <c r="O95">
        <v>0</v>
      </c>
      <c r="P95">
        <v>4.5</v>
      </c>
      <c r="Q95">
        <v>753473.55</v>
      </c>
      <c r="R95">
        <v>151527.22</v>
      </c>
    </row>
    <row r="96" spans="1:18">
      <c r="A96" s="3" t="s">
        <v>45</v>
      </c>
      <c r="B96" s="2">
        <v>45717</v>
      </c>
      <c r="C96" t="s">
        <v>27</v>
      </c>
      <c r="D96" t="s">
        <v>16</v>
      </c>
      <c r="E96">
        <f>IF(D96="Residential",1,0)</f>
        <v>1</v>
      </c>
      <c r="F96">
        <f t="shared" si="3"/>
        <v>0</v>
      </c>
      <c r="G96">
        <f t="shared" si="4"/>
        <v>0</v>
      </c>
      <c r="H96">
        <f t="shared" si="5"/>
        <v>0</v>
      </c>
      <c r="I96">
        <v>86421.88</v>
      </c>
      <c r="J96">
        <v>7970</v>
      </c>
      <c r="K96">
        <v>7.2999999999999995E-2</v>
      </c>
      <c r="L96">
        <v>17</v>
      </c>
      <c r="M96">
        <v>91.3</v>
      </c>
      <c r="N96">
        <v>0.8</v>
      </c>
      <c r="O96">
        <v>0</v>
      </c>
      <c r="P96">
        <v>5</v>
      </c>
      <c r="Q96">
        <v>838250.32</v>
      </c>
      <c r="R96">
        <v>122939.34</v>
      </c>
    </row>
    <row r="97" spans="1:18">
      <c r="A97" s="3" t="s">
        <v>45</v>
      </c>
      <c r="B97" s="2">
        <v>45748</v>
      </c>
      <c r="C97" t="s">
        <v>27</v>
      </c>
      <c r="D97" t="s">
        <v>16</v>
      </c>
      <c r="E97">
        <f>IF(D97="Residential",1,0)</f>
        <v>1</v>
      </c>
      <c r="F97">
        <f t="shared" si="3"/>
        <v>0</v>
      </c>
      <c r="G97">
        <f t="shared" si="4"/>
        <v>0</v>
      </c>
      <c r="H97">
        <f t="shared" si="5"/>
        <v>0</v>
      </c>
      <c r="I97">
        <v>9534.65</v>
      </c>
      <c r="J97">
        <v>6057</v>
      </c>
      <c r="K97">
        <v>7.3999999999999996E-2</v>
      </c>
      <c r="L97">
        <v>15</v>
      </c>
      <c r="M97">
        <v>94.1</v>
      </c>
      <c r="N97">
        <v>5.79</v>
      </c>
      <c r="O97">
        <v>0</v>
      </c>
      <c r="P97">
        <v>4.5</v>
      </c>
      <c r="Q97">
        <v>607898.12</v>
      </c>
      <c r="R97">
        <v>135404.85</v>
      </c>
    </row>
    <row r="98" spans="1:18">
      <c r="A98" s="3" t="s">
        <v>46</v>
      </c>
      <c r="B98" s="2">
        <v>45658</v>
      </c>
      <c r="C98" t="s">
        <v>27</v>
      </c>
      <c r="D98" t="s">
        <v>28</v>
      </c>
      <c r="E98">
        <f>IF(D98="Residential",1,0)</f>
        <v>0</v>
      </c>
      <c r="F98">
        <f t="shared" si="3"/>
        <v>0</v>
      </c>
      <c r="G98">
        <f t="shared" si="4"/>
        <v>0</v>
      </c>
      <c r="H98">
        <f t="shared" si="5"/>
        <v>1</v>
      </c>
      <c r="I98">
        <v>61132.07</v>
      </c>
      <c r="J98">
        <v>6394</v>
      </c>
      <c r="K98">
        <v>0.16300000000000001</v>
      </c>
      <c r="L98">
        <v>19</v>
      </c>
      <c r="M98">
        <v>91</v>
      </c>
      <c r="N98">
        <v>19.600000000000001</v>
      </c>
      <c r="O98">
        <v>0</v>
      </c>
      <c r="P98">
        <v>4.4000000000000004</v>
      </c>
      <c r="Q98">
        <v>691113.62</v>
      </c>
      <c r="R98">
        <v>135145.44</v>
      </c>
    </row>
    <row r="99" spans="1:18">
      <c r="A99" s="3" t="s">
        <v>46</v>
      </c>
      <c r="B99" s="2">
        <v>45689</v>
      </c>
      <c r="C99" t="s">
        <v>27</v>
      </c>
      <c r="D99" t="s">
        <v>28</v>
      </c>
      <c r="E99">
        <f>IF(D99="Residential",1,0)</f>
        <v>0</v>
      </c>
      <c r="F99">
        <f t="shared" si="3"/>
        <v>0</v>
      </c>
      <c r="G99">
        <f t="shared" si="4"/>
        <v>0</v>
      </c>
      <c r="H99">
        <f t="shared" si="5"/>
        <v>1</v>
      </c>
      <c r="I99">
        <v>78839.39</v>
      </c>
      <c r="J99">
        <v>5150</v>
      </c>
      <c r="K99">
        <v>0.17100000000000001</v>
      </c>
      <c r="L99">
        <v>13</v>
      </c>
      <c r="M99">
        <v>85.8</v>
      </c>
      <c r="N99">
        <v>7.57</v>
      </c>
      <c r="O99">
        <v>0</v>
      </c>
      <c r="P99">
        <v>4.3</v>
      </c>
      <c r="Q99">
        <v>735509.4</v>
      </c>
      <c r="R99">
        <v>83895.96</v>
      </c>
    </row>
    <row r="100" spans="1:18">
      <c r="A100" s="3" t="s">
        <v>46</v>
      </c>
      <c r="B100" s="2">
        <v>45717</v>
      </c>
      <c r="C100" t="s">
        <v>27</v>
      </c>
      <c r="D100" t="s">
        <v>28</v>
      </c>
      <c r="E100">
        <f>IF(D100="Residential",1,0)</f>
        <v>0</v>
      </c>
      <c r="F100">
        <f t="shared" si="3"/>
        <v>0</v>
      </c>
      <c r="G100">
        <f t="shared" si="4"/>
        <v>0</v>
      </c>
      <c r="H100">
        <f t="shared" si="5"/>
        <v>1</v>
      </c>
      <c r="I100">
        <v>38752.800000000003</v>
      </c>
      <c r="J100">
        <v>4712</v>
      </c>
      <c r="K100">
        <v>7.4999999999999997E-2</v>
      </c>
      <c r="L100">
        <v>15</v>
      </c>
      <c r="M100">
        <v>89.7</v>
      </c>
      <c r="N100">
        <v>0</v>
      </c>
      <c r="O100">
        <v>0</v>
      </c>
      <c r="P100">
        <v>4.3</v>
      </c>
      <c r="Q100">
        <v>605775.32999999996</v>
      </c>
      <c r="R100">
        <v>107194.6</v>
      </c>
    </row>
    <row r="101" spans="1:18">
      <c r="A101" s="3" t="s">
        <v>46</v>
      </c>
      <c r="B101" s="2">
        <v>45748</v>
      </c>
      <c r="C101" t="s">
        <v>27</v>
      </c>
      <c r="D101" t="s">
        <v>28</v>
      </c>
      <c r="E101">
        <f>IF(D101="Residential",1,0)</f>
        <v>0</v>
      </c>
      <c r="F101">
        <f t="shared" si="3"/>
        <v>0</v>
      </c>
      <c r="G101">
        <f t="shared" si="4"/>
        <v>0</v>
      </c>
      <c r="H101">
        <f t="shared" si="5"/>
        <v>1</v>
      </c>
      <c r="I101">
        <v>55101.1</v>
      </c>
      <c r="J101">
        <v>5281</v>
      </c>
      <c r="K101">
        <v>0.189</v>
      </c>
      <c r="L101">
        <v>11</v>
      </c>
      <c r="M101">
        <v>91</v>
      </c>
      <c r="N101">
        <v>2.7</v>
      </c>
      <c r="O101">
        <v>0</v>
      </c>
      <c r="P101">
        <v>4.4000000000000004</v>
      </c>
      <c r="Q101">
        <v>675177.68</v>
      </c>
      <c r="R101">
        <v>105628.68</v>
      </c>
    </row>
    <row r="102" spans="1:18">
      <c r="A102" s="3" t="s">
        <v>47</v>
      </c>
      <c r="B102" s="2">
        <v>45658</v>
      </c>
      <c r="C102" t="s">
        <v>15</v>
      </c>
      <c r="D102" t="s">
        <v>28</v>
      </c>
      <c r="E102">
        <f>IF(D102="Residential",1,0)</f>
        <v>0</v>
      </c>
      <c r="F102">
        <f t="shared" si="3"/>
        <v>0</v>
      </c>
      <c r="G102">
        <f t="shared" si="4"/>
        <v>0</v>
      </c>
      <c r="H102">
        <f t="shared" si="5"/>
        <v>1</v>
      </c>
      <c r="I102">
        <v>53084.76</v>
      </c>
      <c r="J102">
        <v>3642</v>
      </c>
      <c r="K102">
        <v>0.15</v>
      </c>
      <c r="L102">
        <v>12</v>
      </c>
      <c r="M102">
        <v>91.4</v>
      </c>
      <c r="N102">
        <v>0.2</v>
      </c>
      <c r="O102">
        <v>0</v>
      </c>
      <c r="P102">
        <v>4.4000000000000004</v>
      </c>
      <c r="Q102">
        <v>635181.35</v>
      </c>
      <c r="R102">
        <v>83341.25</v>
      </c>
    </row>
    <row r="103" spans="1:18">
      <c r="A103" s="3" t="s">
        <v>47</v>
      </c>
      <c r="B103" s="2">
        <v>45689</v>
      </c>
      <c r="C103" t="s">
        <v>15</v>
      </c>
      <c r="D103" t="s">
        <v>28</v>
      </c>
      <c r="E103">
        <f>IF(D103="Residential",1,0)</f>
        <v>0</v>
      </c>
      <c r="F103">
        <f t="shared" si="3"/>
        <v>0</v>
      </c>
      <c r="G103">
        <f t="shared" si="4"/>
        <v>0</v>
      </c>
      <c r="H103">
        <f t="shared" si="5"/>
        <v>1</v>
      </c>
      <c r="I103">
        <v>63101.59</v>
      </c>
      <c r="J103">
        <v>4373</v>
      </c>
      <c r="K103">
        <v>0.17299999999999999</v>
      </c>
      <c r="L103">
        <v>14</v>
      </c>
      <c r="M103">
        <v>90.4</v>
      </c>
      <c r="N103">
        <v>7.87</v>
      </c>
      <c r="O103">
        <v>0</v>
      </c>
      <c r="P103">
        <v>4.7</v>
      </c>
      <c r="Q103">
        <v>586626.93999999994</v>
      </c>
      <c r="R103">
        <v>86498.55</v>
      </c>
    </row>
    <row r="104" spans="1:18">
      <c r="A104" s="3" t="s">
        <v>47</v>
      </c>
      <c r="B104" s="2">
        <v>45717</v>
      </c>
      <c r="C104" t="s">
        <v>15</v>
      </c>
      <c r="D104" t="s">
        <v>28</v>
      </c>
      <c r="E104">
        <f>IF(D104="Residential",1,0)</f>
        <v>0</v>
      </c>
      <c r="F104">
        <f t="shared" si="3"/>
        <v>0</v>
      </c>
      <c r="G104">
        <f t="shared" si="4"/>
        <v>0</v>
      </c>
      <c r="H104">
        <f t="shared" si="5"/>
        <v>1</v>
      </c>
      <c r="I104">
        <v>90084.4</v>
      </c>
      <c r="J104">
        <v>6832</v>
      </c>
      <c r="K104">
        <v>0.185</v>
      </c>
      <c r="L104">
        <v>14</v>
      </c>
      <c r="M104">
        <v>80.5</v>
      </c>
      <c r="N104">
        <v>0.77</v>
      </c>
      <c r="O104">
        <v>1</v>
      </c>
      <c r="P104">
        <v>4.4000000000000004</v>
      </c>
      <c r="Q104">
        <v>740102.64</v>
      </c>
      <c r="R104">
        <v>114299.07</v>
      </c>
    </row>
    <row r="105" spans="1:18">
      <c r="A105" s="3" t="s">
        <v>47</v>
      </c>
      <c r="B105" s="2">
        <v>45748</v>
      </c>
      <c r="C105" t="s">
        <v>15</v>
      </c>
      <c r="D105" t="s">
        <v>28</v>
      </c>
      <c r="E105">
        <f>IF(D105="Residential",1,0)</f>
        <v>0</v>
      </c>
      <c r="F105">
        <f t="shared" si="3"/>
        <v>0</v>
      </c>
      <c r="G105">
        <f t="shared" si="4"/>
        <v>0</v>
      </c>
      <c r="H105">
        <f t="shared" si="5"/>
        <v>1</v>
      </c>
      <c r="I105">
        <v>32266.639999999999</v>
      </c>
      <c r="J105">
        <v>2414</v>
      </c>
      <c r="K105">
        <v>0.08</v>
      </c>
      <c r="L105">
        <v>7</v>
      </c>
      <c r="M105">
        <v>92.1</v>
      </c>
      <c r="N105">
        <v>1.48</v>
      </c>
      <c r="O105">
        <v>0</v>
      </c>
      <c r="P105">
        <v>5</v>
      </c>
      <c r="Q105">
        <v>625514.04</v>
      </c>
      <c r="R105">
        <v>120685.08</v>
      </c>
    </row>
    <row r="106" spans="1:18">
      <c r="A106" s="3" t="s">
        <v>48</v>
      </c>
      <c r="B106" s="2">
        <v>45658</v>
      </c>
      <c r="C106" t="s">
        <v>27</v>
      </c>
      <c r="D106" t="s">
        <v>18</v>
      </c>
      <c r="E106">
        <f>IF(D106="Residential",1,0)</f>
        <v>0</v>
      </c>
      <c r="F106">
        <f t="shared" si="3"/>
        <v>1</v>
      </c>
      <c r="G106">
        <f t="shared" si="4"/>
        <v>0</v>
      </c>
      <c r="H106">
        <f t="shared" si="5"/>
        <v>0</v>
      </c>
      <c r="I106">
        <v>57919.07</v>
      </c>
      <c r="J106">
        <v>7374</v>
      </c>
      <c r="K106">
        <v>0.10299999999999999</v>
      </c>
      <c r="L106">
        <v>21</v>
      </c>
      <c r="M106">
        <v>82.3</v>
      </c>
      <c r="N106">
        <v>2.87</v>
      </c>
      <c r="O106">
        <v>0</v>
      </c>
      <c r="P106">
        <v>2.9</v>
      </c>
      <c r="Q106">
        <v>727227.2</v>
      </c>
      <c r="R106">
        <v>121292.01</v>
      </c>
    </row>
    <row r="107" spans="1:18">
      <c r="A107" s="3" t="s">
        <v>48</v>
      </c>
      <c r="B107" s="2">
        <v>45689</v>
      </c>
      <c r="C107" t="s">
        <v>27</v>
      </c>
      <c r="D107" t="s">
        <v>18</v>
      </c>
      <c r="E107">
        <f>IF(D107="Residential",1,0)</f>
        <v>0</v>
      </c>
      <c r="F107">
        <f t="shared" si="3"/>
        <v>1</v>
      </c>
      <c r="G107">
        <f t="shared" si="4"/>
        <v>0</v>
      </c>
      <c r="H107">
        <f t="shared" si="5"/>
        <v>0</v>
      </c>
      <c r="I107">
        <v>74679.350000000006</v>
      </c>
      <c r="J107">
        <v>8739</v>
      </c>
      <c r="K107">
        <v>5.6000000000000001E-2</v>
      </c>
      <c r="L107">
        <v>21</v>
      </c>
      <c r="M107">
        <v>91.8</v>
      </c>
      <c r="N107">
        <v>2.83</v>
      </c>
      <c r="O107">
        <v>0</v>
      </c>
      <c r="P107">
        <v>3</v>
      </c>
      <c r="Q107">
        <v>783797.89</v>
      </c>
      <c r="R107">
        <v>157620.70000000001</v>
      </c>
    </row>
    <row r="108" spans="1:18">
      <c r="A108" s="3" t="s">
        <v>48</v>
      </c>
      <c r="B108" s="2">
        <v>45717</v>
      </c>
      <c r="C108" t="s">
        <v>27</v>
      </c>
      <c r="D108" t="s">
        <v>18</v>
      </c>
      <c r="E108">
        <f>IF(D108="Residential",1,0)</f>
        <v>0</v>
      </c>
      <c r="F108">
        <f t="shared" si="3"/>
        <v>1</v>
      </c>
      <c r="G108">
        <f t="shared" si="4"/>
        <v>0</v>
      </c>
      <c r="H108">
        <f t="shared" si="5"/>
        <v>0</v>
      </c>
      <c r="I108">
        <v>64294.23</v>
      </c>
      <c r="J108">
        <v>6992</v>
      </c>
      <c r="K108">
        <v>0.13300000000000001</v>
      </c>
      <c r="L108">
        <v>14</v>
      </c>
      <c r="M108">
        <v>94.1</v>
      </c>
      <c r="N108">
        <v>0.25</v>
      </c>
      <c r="O108">
        <v>0</v>
      </c>
      <c r="P108">
        <v>3</v>
      </c>
      <c r="Q108">
        <v>795153.84</v>
      </c>
      <c r="R108">
        <v>143194.21</v>
      </c>
    </row>
    <row r="109" spans="1:18">
      <c r="A109" s="3" t="s">
        <v>48</v>
      </c>
      <c r="B109" s="2">
        <v>45748</v>
      </c>
      <c r="C109" t="s">
        <v>27</v>
      </c>
      <c r="D109" t="s">
        <v>18</v>
      </c>
      <c r="E109">
        <f>IF(D109="Residential",1,0)</f>
        <v>0</v>
      </c>
      <c r="F109">
        <f t="shared" si="3"/>
        <v>1</v>
      </c>
      <c r="G109">
        <f t="shared" si="4"/>
        <v>0</v>
      </c>
      <c r="H109">
        <f t="shared" si="5"/>
        <v>0</v>
      </c>
      <c r="I109">
        <v>31042.03</v>
      </c>
      <c r="J109">
        <v>7107</v>
      </c>
      <c r="K109">
        <v>5.0999999999999997E-2</v>
      </c>
      <c r="L109">
        <v>15</v>
      </c>
      <c r="M109">
        <v>87</v>
      </c>
      <c r="N109">
        <v>13.33</v>
      </c>
      <c r="O109">
        <v>0</v>
      </c>
      <c r="P109">
        <v>3.2</v>
      </c>
      <c r="Q109">
        <v>665594.93999999994</v>
      </c>
      <c r="R109">
        <v>127597.34</v>
      </c>
    </row>
    <row r="110" spans="1:18">
      <c r="A110" s="3" t="s">
        <v>49</v>
      </c>
      <c r="B110" s="2">
        <v>45658</v>
      </c>
      <c r="C110" t="s">
        <v>15</v>
      </c>
      <c r="D110" t="s">
        <v>28</v>
      </c>
      <c r="E110">
        <f>IF(D110="Residential",1,0)</f>
        <v>0</v>
      </c>
      <c r="F110">
        <f t="shared" si="3"/>
        <v>0</v>
      </c>
      <c r="G110">
        <f t="shared" si="4"/>
        <v>0</v>
      </c>
      <c r="H110">
        <f t="shared" si="5"/>
        <v>1</v>
      </c>
      <c r="I110">
        <v>75265.02</v>
      </c>
      <c r="J110">
        <v>6975</v>
      </c>
      <c r="K110">
        <v>0.157</v>
      </c>
      <c r="L110">
        <v>20</v>
      </c>
      <c r="M110">
        <v>73.8</v>
      </c>
      <c r="N110">
        <v>6.35</v>
      </c>
      <c r="O110">
        <v>1</v>
      </c>
      <c r="P110">
        <v>3.8</v>
      </c>
      <c r="Q110">
        <v>709478.39</v>
      </c>
      <c r="R110">
        <v>71294.27</v>
      </c>
    </row>
    <row r="111" spans="1:18">
      <c r="A111" s="3" t="s">
        <v>49</v>
      </c>
      <c r="B111" s="2">
        <v>45689</v>
      </c>
      <c r="C111" t="s">
        <v>15</v>
      </c>
      <c r="D111" t="s">
        <v>28</v>
      </c>
      <c r="E111">
        <f>IF(D111="Residential",1,0)</f>
        <v>0</v>
      </c>
      <c r="F111">
        <f t="shared" si="3"/>
        <v>0</v>
      </c>
      <c r="G111">
        <f t="shared" si="4"/>
        <v>0</v>
      </c>
      <c r="H111">
        <f t="shared" si="5"/>
        <v>1</v>
      </c>
      <c r="I111">
        <v>69411.7</v>
      </c>
      <c r="J111">
        <v>5493</v>
      </c>
      <c r="K111">
        <v>0.29199999999999998</v>
      </c>
      <c r="L111">
        <v>13</v>
      </c>
      <c r="M111">
        <v>86.5</v>
      </c>
      <c r="N111">
        <v>6.69</v>
      </c>
      <c r="O111">
        <v>0</v>
      </c>
      <c r="P111">
        <v>3.8</v>
      </c>
      <c r="Q111">
        <v>664162.49</v>
      </c>
      <c r="R111">
        <v>98291.06</v>
      </c>
    </row>
    <row r="112" spans="1:18">
      <c r="A112" s="3" t="s">
        <v>49</v>
      </c>
      <c r="B112" s="2">
        <v>45717</v>
      </c>
      <c r="C112" t="s">
        <v>15</v>
      </c>
      <c r="D112" t="s">
        <v>28</v>
      </c>
      <c r="E112">
        <f>IF(D112="Residential",1,0)</f>
        <v>0</v>
      </c>
      <c r="F112">
        <f t="shared" si="3"/>
        <v>0</v>
      </c>
      <c r="G112">
        <f t="shared" si="4"/>
        <v>0</v>
      </c>
      <c r="H112">
        <f t="shared" si="5"/>
        <v>1</v>
      </c>
      <c r="I112">
        <v>51056.15</v>
      </c>
      <c r="J112">
        <v>5686</v>
      </c>
      <c r="K112">
        <v>8.8999999999999996E-2</v>
      </c>
      <c r="L112">
        <v>13</v>
      </c>
      <c r="M112">
        <v>89.9</v>
      </c>
      <c r="N112">
        <v>1.28</v>
      </c>
      <c r="O112">
        <v>0</v>
      </c>
      <c r="P112">
        <v>4.2</v>
      </c>
      <c r="Q112">
        <v>633494.21</v>
      </c>
      <c r="R112">
        <v>105739.47</v>
      </c>
    </row>
    <row r="113" spans="1:18">
      <c r="A113" s="3" t="s">
        <v>49</v>
      </c>
      <c r="B113" s="2">
        <v>45748</v>
      </c>
      <c r="C113" t="s">
        <v>15</v>
      </c>
      <c r="D113" t="s">
        <v>28</v>
      </c>
      <c r="E113">
        <f>IF(D113="Residential",1,0)</f>
        <v>0</v>
      </c>
      <c r="F113">
        <f t="shared" si="3"/>
        <v>0</v>
      </c>
      <c r="G113">
        <f t="shared" si="4"/>
        <v>0</v>
      </c>
      <c r="H113">
        <f t="shared" si="5"/>
        <v>1</v>
      </c>
      <c r="I113">
        <v>52758.01</v>
      </c>
      <c r="J113">
        <v>4063</v>
      </c>
      <c r="K113">
        <v>5.7000000000000002E-2</v>
      </c>
      <c r="L113">
        <v>12</v>
      </c>
      <c r="M113">
        <v>91.7</v>
      </c>
      <c r="N113">
        <v>0.92</v>
      </c>
      <c r="O113">
        <v>0</v>
      </c>
      <c r="P113">
        <v>3.5</v>
      </c>
      <c r="Q113">
        <v>713611.16</v>
      </c>
      <c r="R113">
        <v>129717.18</v>
      </c>
    </row>
    <row r="114" spans="1:18">
      <c r="A114" s="3" t="s">
        <v>50</v>
      </c>
      <c r="B114" s="2">
        <v>45658</v>
      </c>
      <c r="C114" t="s">
        <v>27</v>
      </c>
      <c r="D114" t="s">
        <v>28</v>
      </c>
      <c r="E114">
        <f>IF(D114="Residential",1,0)</f>
        <v>0</v>
      </c>
      <c r="F114">
        <f t="shared" si="3"/>
        <v>0</v>
      </c>
      <c r="G114">
        <f t="shared" si="4"/>
        <v>0</v>
      </c>
      <c r="H114">
        <f t="shared" si="5"/>
        <v>1</v>
      </c>
      <c r="I114">
        <v>61426.04</v>
      </c>
      <c r="J114">
        <v>8966</v>
      </c>
      <c r="K114">
        <v>0.17299999999999999</v>
      </c>
      <c r="L114">
        <v>22</v>
      </c>
      <c r="M114">
        <v>76.400000000000006</v>
      </c>
      <c r="N114">
        <v>1.05</v>
      </c>
      <c r="O114">
        <v>0</v>
      </c>
      <c r="P114">
        <v>3.1</v>
      </c>
      <c r="Q114">
        <v>778397.97</v>
      </c>
      <c r="R114">
        <v>120044.41</v>
      </c>
    </row>
    <row r="115" spans="1:18">
      <c r="A115" s="3" t="s">
        <v>50</v>
      </c>
      <c r="B115" s="2">
        <v>45689</v>
      </c>
      <c r="C115" t="s">
        <v>27</v>
      </c>
      <c r="D115" t="s">
        <v>28</v>
      </c>
      <c r="E115">
        <f>IF(D115="Residential",1,0)</f>
        <v>0</v>
      </c>
      <c r="F115">
        <f t="shared" si="3"/>
        <v>0</v>
      </c>
      <c r="G115">
        <f t="shared" si="4"/>
        <v>0</v>
      </c>
      <c r="H115">
        <f t="shared" si="5"/>
        <v>1</v>
      </c>
      <c r="I115">
        <v>80176.34</v>
      </c>
      <c r="J115">
        <v>9489</v>
      </c>
      <c r="K115">
        <v>0.14199999999999999</v>
      </c>
      <c r="L115">
        <v>22</v>
      </c>
      <c r="M115">
        <v>94.3</v>
      </c>
      <c r="N115">
        <v>2.67</v>
      </c>
      <c r="O115">
        <v>0</v>
      </c>
      <c r="P115">
        <v>3.5</v>
      </c>
      <c r="Q115">
        <v>873380.02</v>
      </c>
      <c r="R115">
        <v>149734.76</v>
      </c>
    </row>
    <row r="116" spans="1:18">
      <c r="A116" s="3" t="s">
        <v>50</v>
      </c>
      <c r="B116" s="2">
        <v>45717</v>
      </c>
      <c r="C116" t="s">
        <v>27</v>
      </c>
      <c r="D116" t="s">
        <v>28</v>
      </c>
      <c r="E116">
        <f>IF(D116="Residential",1,0)</f>
        <v>0</v>
      </c>
      <c r="F116">
        <f t="shared" si="3"/>
        <v>0</v>
      </c>
      <c r="G116">
        <f t="shared" si="4"/>
        <v>0</v>
      </c>
      <c r="H116">
        <f t="shared" si="5"/>
        <v>1</v>
      </c>
      <c r="I116">
        <v>33605.18</v>
      </c>
      <c r="J116">
        <v>9225</v>
      </c>
      <c r="K116">
        <v>0.159</v>
      </c>
      <c r="L116">
        <v>23</v>
      </c>
      <c r="M116">
        <v>88.4</v>
      </c>
      <c r="N116">
        <v>5.91</v>
      </c>
      <c r="O116">
        <v>0</v>
      </c>
      <c r="P116">
        <v>2.8</v>
      </c>
      <c r="Q116">
        <v>697287.9</v>
      </c>
      <c r="R116">
        <v>128208.33</v>
      </c>
    </row>
    <row r="117" spans="1:18">
      <c r="A117" s="3" t="s">
        <v>50</v>
      </c>
      <c r="B117" s="2">
        <v>45748</v>
      </c>
      <c r="C117" t="s">
        <v>27</v>
      </c>
      <c r="D117" t="s">
        <v>28</v>
      </c>
      <c r="E117">
        <f>IF(D117="Residential",1,0)</f>
        <v>0</v>
      </c>
      <c r="F117">
        <f t="shared" si="3"/>
        <v>0</v>
      </c>
      <c r="G117">
        <f t="shared" si="4"/>
        <v>0</v>
      </c>
      <c r="H117">
        <f t="shared" si="5"/>
        <v>1</v>
      </c>
      <c r="I117">
        <v>25990.54</v>
      </c>
      <c r="J117">
        <v>9249</v>
      </c>
      <c r="K117">
        <v>0.13900000000000001</v>
      </c>
      <c r="L117">
        <v>23</v>
      </c>
      <c r="M117">
        <v>92.5</v>
      </c>
      <c r="N117">
        <v>6.37</v>
      </c>
      <c r="O117">
        <v>0</v>
      </c>
      <c r="P117">
        <v>3.3</v>
      </c>
      <c r="Q117">
        <v>718074.79</v>
      </c>
      <c r="R117">
        <v>115819.87</v>
      </c>
    </row>
    <row r="118" spans="1:18">
      <c r="A118" s="3" t="s">
        <v>51</v>
      </c>
      <c r="B118" s="2">
        <v>45658</v>
      </c>
      <c r="C118" t="s">
        <v>27</v>
      </c>
      <c r="D118" t="s">
        <v>16</v>
      </c>
      <c r="E118">
        <f>IF(D118="Residential",1,0)</f>
        <v>1</v>
      </c>
      <c r="F118">
        <f t="shared" si="3"/>
        <v>0</v>
      </c>
      <c r="G118">
        <f t="shared" si="4"/>
        <v>0</v>
      </c>
      <c r="H118">
        <f t="shared" si="5"/>
        <v>0</v>
      </c>
      <c r="I118">
        <v>43685.14</v>
      </c>
      <c r="J118">
        <v>7821</v>
      </c>
      <c r="K118">
        <v>0.19</v>
      </c>
      <c r="L118">
        <v>17</v>
      </c>
      <c r="M118">
        <v>91</v>
      </c>
      <c r="N118">
        <v>2.4900000000000002</v>
      </c>
      <c r="O118">
        <v>1</v>
      </c>
      <c r="P118">
        <v>4.7</v>
      </c>
      <c r="Q118">
        <v>714942.43</v>
      </c>
      <c r="R118">
        <v>94697.71</v>
      </c>
    </row>
    <row r="119" spans="1:18">
      <c r="A119" s="3" t="s">
        <v>51</v>
      </c>
      <c r="B119" s="2">
        <v>45689</v>
      </c>
      <c r="C119" t="s">
        <v>27</v>
      </c>
      <c r="D119" t="s">
        <v>16</v>
      </c>
      <c r="E119">
        <f>IF(D119="Residential",1,0)</f>
        <v>1</v>
      </c>
      <c r="F119">
        <f t="shared" si="3"/>
        <v>0</v>
      </c>
      <c r="G119">
        <f t="shared" si="4"/>
        <v>0</v>
      </c>
      <c r="H119">
        <f t="shared" si="5"/>
        <v>0</v>
      </c>
      <c r="I119">
        <v>57360.01</v>
      </c>
      <c r="J119">
        <v>8434</v>
      </c>
      <c r="K119">
        <v>0.151</v>
      </c>
      <c r="L119">
        <v>19</v>
      </c>
      <c r="M119">
        <v>84.1</v>
      </c>
      <c r="N119">
        <v>1.56</v>
      </c>
      <c r="O119">
        <v>0</v>
      </c>
      <c r="P119">
        <v>4.7</v>
      </c>
      <c r="Q119">
        <v>820519.04</v>
      </c>
      <c r="R119">
        <v>99035.88</v>
      </c>
    </row>
    <row r="120" spans="1:18">
      <c r="A120" s="3" t="s">
        <v>51</v>
      </c>
      <c r="B120" s="2">
        <v>45717</v>
      </c>
      <c r="C120" t="s">
        <v>27</v>
      </c>
      <c r="D120" t="s">
        <v>16</v>
      </c>
      <c r="E120">
        <f>IF(D120="Residential",1,0)</f>
        <v>1</v>
      </c>
      <c r="F120">
        <f t="shared" si="3"/>
        <v>0</v>
      </c>
      <c r="G120">
        <f t="shared" si="4"/>
        <v>0</v>
      </c>
      <c r="H120">
        <f t="shared" si="5"/>
        <v>0</v>
      </c>
      <c r="I120">
        <v>42415.47</v>
      </c>
      <c r="J120">
        <v>8512</v>
      </c>
      <c r="K120">
        <v>0.13300000000000001</v>
      </c>
      <c r="L120">
        <v>18</v>
      </c>
      <c r="M120">
        <v>96.8</v>
      </c>
      <c r="N120">
        <v>14.95</v>
      </c>
      <c r="O120">
        <v>0</v>
      </c>
      <c r="P120">
        <v>4.5999999999999996</v>
      </c>
      <c r="Q120">
        <v>684217.32</v>
      </c>
      <c r="R120">
        <v>136217.19</v>
      </c>
    </row>
    <row r="121" spans="1:18">
      <c r="A121" s="3" t="s">
        <v>51</v>
      </c>
      <c r="B121" s="2">
        <v>45748</v>
      </c>
      <c r="C121" t="s">
        <v>27</v>
      </c>
      <c r="D121" t="s">
        <v>16</v>
      </c>
      <c r="E121">
        <f>IF(D121="Residential",1,0)</f>
        <v>1</v>
      </c>
      <c r="F121">
        <f t="shared" si="3"/>
        <v>0</v>
      </c>
      <c r="G121">
        <f t="shared" si="4"/>
        <v>0</v>
      </c>
      <c r="H121">
        <f t="shared" si="5"/>
        <v>0</v>
      </c>
      <c r="I121">
        <v>54968.98</v>
      </c>
      <c r="J121">
        <v>7816</v>
      </c>
      <c r="K121">
        <v>0.23200000000000001</v>
      </c>
      <c r="L121">
        <v>19</v>
      </c>
      <c r="M121">
        <v>95.7</v>
      </c>
      <c r="N121">
        <v>7.85</v>
      </c>
      <c r="O121">
        <v>0</v>
      </c>
      <c r="P121">
        <v>4.7</v>
      </c>
      <c r="Q121">
        <v>735480.19</v>
      </c>
      <c r="R121">
        <v>88342.11</v>
      </c>
    </row>
    <row r="122" spans="1:18">
      <c r="A122" s="3" t="s">
        <v>52</v>
      </c>
      <c r="B122" s="2">
        <v>45658</v>
      </c>
      <c r="C122" t="s">
        <v>20</v>
      </c>
      <c r="D122" t="s">
        <v>18</v>
      </c>
      <c r="E122">
        <f>IF(D122="Residential",1,0)</f>
        <v>0</v>
      </c>
      <c r="F122">
        <f t="shared" si="3"/>
        <v>1</v>
      </c>
      <c r="G122">
        <f t="shared" si="4"/>
        <v>0</v>
      </c>
      <c r="H122">
        <f t="shared" si="5"/>
        <v>0</v>
      </c>
      <c r="I122">
        <v>43896.13</v>
      </c>
      <c r="J122">
        <v>3853</v>
      </c>
      <c r="K122">
        <v>8.7999999999999995E-2</v>
      </c>
      <c r="L122">
        <v>13</v>
      </c>
      <c r="M122">
        <v>83</v>
      </c>
      <c r="N122">
        <v>6.8</v>
      </c>
      <c r="O122">
        <v>0</v>
      </c>
      <c r="P122">
        <v>4.4000000000000004</v>
      </c>
      <c r="Q122">
        <v>509484.81</v>
      </c>
      <c r="R122">
        <v>85742.36</v>
      </c>
    </row>
    <row r="123" spans="1:18">
      <c r="A123" s="3" t="s">
        <v>52</v>
      </c>
      <c r="B123" s="2">
        <v>45689</v>
      </c>
      <c r="C123" t="s">
        <v>20</v>
      </c>
      <c r="D123" t="s">
        <v>18</v>
      </c>
      <c r="E123">
        <f>IF(D123="Residential",1,0)</f>
        <v>0</v>
      </c>
      <c r="F123">
        <f t="shared" si="3"/>
        <v>1</v>
      </c>
      <c r="G123">
        <f t="shared" si="4"/>
        <v>0</v>
      </c>
      <c r="H123">
        <f t="shared" si="5"/>
        <v>0</v>
      </c>
      <c r="I123">
        <v>83044.17</v>
      </c>
      <c r="J123">
        <v>3694</v>
      </c>
      <c r="K123">
        <v>0</v>
      </c>
      <c r="L123">
        <v>14</v>
      </c>
      <c r="M123">
        <v>89.4</v>
      </c>
      <c r="N123">
        <v>2.2000000000000002</v>
      </c>
      <c r="O123">
        <v>0</v>
      </c>
      <c r="P123">
        <v>3.7</v>
      </c>
      <c r="Q123">
        <v>654317.09</v>
      </c>
      <c r="R123">
        <v>121446.89</v>
      </c>
    </row>
    <row r="124" spans="1:18">
      <c r="A124" s="3" t="s">
        <v>52</v>
      </c>
      <c r="B124" s="2">
        <v>45717</v>
      </c>
      <c r="C124" t="s">
        <v>20</v>
      </c>
      <c r="D124" t="s">
        <v>18</v>
      </c>
      <c r="E124">
        <f>IF(D124="Residential",1,0)</f>
        <v>0</v>
      </c>
      <c r="F124">
        <f t="shared" si="3"/>
        <v>1</v>
      </c>
      <c r="G124">
        <f t="shared" si="4"/>
        <v>0</v>
      </c>
      <c r="H124">
        <f t="shared" si="5"/>
        <v>0</v>
      </c>
      <c r="I124">
        <v>48396.13</v>
      </c>
      <c r="J124">
        <v>4423</v>
      </c>
      <c r="K124">
        <v>6.9000000000000006E-2</v>
      </c>
      <c r="L124">
        <v>15</v>
      </c>
      <c r="M124">
        <v>85.7</v>
      </c>
      <c r="N124">
        <v>1.88</v>
      </c>
      <c r="O124">
        <v>0</v>
      </c>
      <c r="P124">
        <v>3.9</v>
      </c>
      <c r="Q124">
        <v>557487.26</v>
      </c>
      <c r="R124">
        <v>76432.19</v>
      </c>
    </row>
    <row r="125" spans="1:18">
      <c r="A125" s="3" t="s">
        <v>52</v>
      </c>
      <c r="B125" s="2">
        <v>45748</v>
      </c>
      <c r="C125" t="s">
        <v>20</v>
      </c>
      <c r="D125" t="s">
        <v>18</v>
      </c>
      <c r="E125">
        <f>IF(D125="Residential",1,0)</f>
        <v>0</v>
      </c>
      <c r="F125">
        <f t="shared" si="3"/>
        <v>1</v>
      </c>
      <c r="G125">
        <f t="shared" si="4"/>
        <v>0</v>
      </c>
      <c r="H125">
        <f t="shared" si="5"/>
        <v>0</v>
      </c>
      <c r="I125">
        <v>19063.48</v>
      </c>
      <c r="J125">
        <v>1906</v>
      </c>
      <c r="K125">
        <v>0.216</v>
      </c>
      <c r="L125">
        <v>10</v>
      </c>
      <c r="M125">
        <v>97.8</v>
      </c>
      <c r="N125">
        <v>15.79</v>
      </c>
      <c r="O125">
        <v>0</v>
      </c>
      <c r="P125">
        <v>4.4000000000000004</v>
      </c>
      <c r="Q125">
        <v>441275.42</v>
      </c>
      <c r="R125">
        <v>58234.87</v>
      </c>
    </row>
    <row r="126" spans="1:18">
      <c r="A126" s="3" t="s">
        <v>53</v>
      </c>
      <c r="B126" s="2">
        <v>45658</v>
      </c>
      <c r="C126" t="s">
        <v>24</v>
      </c>
      <c r="D126" t="s">
        <v>18</v>
      </c>
      <c r="E126">
        <f>IF(D126="Residential",1,0)</f>
        <v>0</v>
      </c>
      <c r="F126">
        <f t="shared" si="3"/>
        <v>1</v>
      </c>
      <c r="G126">
        <f t="shared" si="4"/>
        <v>0</v>
      </c>
      <c r="H126">
        <f t="shared" si="5"/>
        <v>0</v>
      </c>
      <c r="I126">
        <v>61541.21</v>
      </c>
      <c r="J126">
        <v>10396</v>
      </c>
      <c r="K126">
        <v>0.123</v>
      </c>
      <c r="L126">
        <v>25</v>
      </c>
      <c r="M126">
        <v>88.1</v>
      </c>
      <c r="N126">
        <v>2.34</v>
      </c>
      <c r="O126">
        <v>1</v>
      </c>
      <c r="P126">
        <v>4.8</v>
      </c>
      <c r="Q126">
        <v>914544.17</v>
      </c>
      <c r="R126">
        <v>79831.73</v>
      </c>
    </row>
    <row r="127" spans="1:18">
      <c r="A127" s="3" t="s">
        <v>53</v>
      </c>
      <c r="B127" s="2">
        <v>45689</v>
      </c>
      <c r="C127" t="s">
        <v>24</v>
      </c>
      <c r="D127" t="s">
        <v>18</v>
      </c>
      <c r="E127">
        <f>IF(D127="Residential",1,0)</f>
        <v>0</v>
      </c>
      <c r="F127">
        <f t="shared" si="3"/>
        <v>1</v>
      </c>
      <c r="G127">
        <f t="shared" si="4"/>
        <v>0</v>
      </c>
      <c r="H127">
        <f t="shared" si="5"/>
        <v>0</v>
      </c>
      <c r="I127">
        <v>44747</v>
      </c>
      <c r="J127">
        <v>11076</v>
      </c>
      <c r="K127">
        <v>0.17599999999999999</v>
      </c>
      <c r="L127">
        <v>27</v>
      </c>
      <c r="M127">
        <v>98.3</v>
      </c>
      <c r="N127">
        <v>0.54</v>
      </c>
      <c r="O127">
        <v>0</v>
      </c>
      <c r="P127">
        <v>4.4000000000000004</v>
      </c>
      <c r="Q127">
        <v>842439.67</v>
      </c>
      <c r="R127">
        <v>169983.63</v>
      </c>
    </row>
    <row r="128" spans="1:18">
      <c r="A128" s="3" t="s">
        <v>53</v>
      </c>
      <c r="B128" s="2">
        <v>45717</v>
      </c>
      <c r="C128" t="s">
        <v>24</v>
      </c>
      <c r="D128" t="s">
        <v>18</v>
      </c>
      <c r="E128">
        <f>IF(D128="Residential",1,0)</f>
        <v>0</v>
      </c>
      <c r="F128">
        <f t="shared" si="3"/>
        <v>1</v>
      </c>
      <c r="G128">
        <f t="shared" si="4"/>
        <v>0</v>
      </c>
      <c r="H128">
        <f t="shared" si="5"/>
        <v>0</v>
      </c>
      <c r="I128">
        <v>56517.9</v>
      </c>
      <c r="J128">
        <v>9574</v>
      </c>
      <c r="K128">
        <v>0.20399999999999999</v>
      </c>
      <c r="L128">
        <v>20</v>
      </c>
      <c r="M128">
        <v>88.2</v>
      </c>
      <c r="N128">
        <v>5.37</v>
      </c>
      <c r="O128">
        <v>1</v>
      </c>
      <c r="P128">
        <v>4.9000000000000004</v>
      </c>
      <c r="Q128">
        <v>842157.92</v>
      </c>
      <c r="R128">
        <v>107348.22</v>
      </c>
    </row>
    <row r="129" spans="1:18">
      <c r="A129" s="3" t="s">
        <v>53</v>
      </c>
      <c r="B129" s="2">
        <v>45748</v>
      </c>
      <c r="C129" t="s">
        <v>24</v>
      </c>
      <c r="D129" t="s">
        <v>18</v>
      </c>
      <c r="E129">
        <f>IF(D129="Residential",1,0)</f>
        <v>0</v>
      </c>
      <c r="F129">
        <f t="shared" si="3"/>
        <v>1</v>
      </c>
      <c r="G129">
        <f t="shared" si="4"/>
        <v>0</v>
      </c>
      <c r="H129">
        <f t="shared" si="5"/>
        <v>0</v>
      </c>
      <c r="I129">
        <v>37828.5</v>
      </c>
      <c r="J129">
        <v>8221</v>
      </c>
      <c r="K129">
        <v>9.6000000000000002E-2</v>
      </c>
      <c r="L129">
        <v>19</v>
      </c>
      <c r="M129">
        <v>81.5</v>
      </c>
      <c r="N129">
        <v>3.19</v>
      </c>
      <c r="O129">
        <v>0</v>
      </c>
      <c r="P129">
        <v>4.8</v>
      </c>
      <c r="Q129">
        <v>697155.3</v>
      </c>
      <c r="R129">
        <v>136408.54</v>
      </c>
    </row>
    <row r="130" spans="1:18">
      <c r="A130" s="3" t="s">
        <v>54</v>
      </c>
      <c r="B130" s="2">
        <v>45658</v>
      </c>
      <c r="C130" t="s">
        <v>15</v>
      </c>
      <c r="D130" t="s">
        <v>18</v>
      </c>
      <c r="E130">
        <f>IF(D130="Residential",1,0)</f>
        <v>0</v>
      </c>
      <c r="F130">
        <f t="shared" si="3"/>
        <v>1</v>
      </c>
      <c r="G130">
        <f t="shared" si="4"/>
        <v>0</v>
      </c>
      <c r="H130">
        <f t="shared" si="5"/>
        <v>0</v>
      </c>
      <c r="I130">
        <v>66250.53</v>
      </c>
      <c r="J130">
        <v>10618</v>
      </c>
      <c r="K130">
        <v>0.14199999999999999</v>
      </c>
      <c r="L130">
        <v>27</v>
      </c>
      <c r="M130">
        <v>88.3</v>
      </c>
      <c r="N130">
        <v>1.1000000000000001</v>
      </c>
      <c r="O130">
        <v>1</v>
      </c>
      <c r="P130">
        <v>4.4000000000000004</v>
      </c>
      <c r="Q130">
        <v>849018.3</v>
      </c>
      <c r="R130">
        <v>149035.13</v>
      </c>
    </row>
    <row r="131" spans="1:18">
      <c r="A131" s="3" t="s">
        <v>54</v>
      </c>
      <c r="B131" s="2">
        <v>45689</v>
      </c>
      <c r="C131" t="s">
        <v>15</v>
      </c>
      <c r="D131" t="s">
        <v>18</v>
      </c>
      <c r="E131">
        <f>IF(D131="Residential",1,0)</f>
        <v>0</v>
      </c>
      <c r="F131">
        <f t="shared" ref="F131:T194" si="6">IF($D131="High street",1,0)</f>
        <v>1</v>
      </c>
      <c r="G131">
        <f t="shared" ref="G131:U194" si="7">IF($D131="Airport",1,0)</f>
        <v>0</v>
      </c>
      <c r="H131">
        <f t="shared" ref="H131:V194" si="8">IF($D131="Mall",1,0)</f>
        <v>0</v>
      </c>
      <c r="I131">
        <v>68410.929999999993</v>
      </c>
      <c r="J131">
        <v>10596</v>
      </c>
      <c r="K131">
        <v>0.20699999999999999</v>
      </c>
      <c r="L131">
        <v>25</v>
      </c>
      <c r="M131">
        <v>81.2</v>
      </c>
      <c r="N131">
        <v>0.21</v>
      </c>
      <c r="O131">
        <v>0</v>
      </c>
      <c r="P131">
        <v>4</v>
      </c>
      <c r="Q131">
        <v>801830.35</v>
      </c>
      <c r="R131">
        <v>114875.32</v>
      </c>
    </row>
    <row r="132" spans="1:18">
      <c r="A132" s="3" t="s">
        <v>54</v>
      </c>
      <c r="B132" s="2">
        <v>45717</v>
      </c>
      <c r="C132" t="s">
        <v>15</v>
      </c>
      <c r="D132" t="s">
        <v>18</v>
      </c>
      <c r="E132">
        <f>IF(D132="Residential",1,0)</f>
        <v>0</v>
      </c>
      <c r="F132">
        <f t="shared" si="6"/>
        <v>1</v>
      </c>
      <c r="G132">
        <f t="shared" si="7"/>
        <v>0</v>
      </c>
      <c r="H132">
        <f t="shared" si="8"/>
        <v>0</v>
      </c>
      <c r="I132">
        <v>50735.63</v>
      </c>
      <c r="J132">
        <v>9619</v>
      </c>
      <c r="K132">
        <v>0.14399999999999999</v>
      </c>
      <c r="L132">
        <v>19</v>
      </c>
      <c r="M132">
        <v>93.8</v>
      </c>
      <c r="N132">
        <v>5.12</v>
      </c>
      <c r="O132">
        <v>1</v>
      </c>
      <c r="P132">
        <v>4.5</v>
      </c>
      <c r="Q132">
        <v>725235.28</v>
      </c>
      <c r="R132">
        <v>121632.24</v>
      </c>
    </row>
    <row r="133" spans="1:18">
      <c r="A133" s="3" t="s">
        <v>54</v>
      </c>
      <c r="B133" s="2">
        <v>45748</v>
      </c>
      <c r="C133" t="s">
        <v>15</v>
      </c>
      <c r="D133" t="s">
        <v>18</v>
      </c>
      <c r="E133">
        <f>IF(D133="Residential",1,0)</f>
        <v>0</v>
      </c>
      <c r="F133">
        <f t="shared" si="6"/>
        <v>1</v>
      </c>
      <c r="G133">
        <f t="shared" si="7"/>
        <v>0</v>
      </c>
      <c r="H133">
        <f t="shared" si="8"/>
        <v>0</v>
      </c>
      <c r="I133">
        <v>66455.8</v>
      </c>
      <c r="J133">
        <v>10836</v>
      </c>
      <c r="K133">
        <v>8.8999999999999996E-2</v>
      </c>
      <c r="L133">
        <v>25</v>
      </c>
      <c r="M133">
        <v>85</v>
      </c>
      <c r="N133">
        <v>9.77</v>
      </c>
      <c r="O133">
        <v>0</v>
      </c>
      <c r="P133">
        <v>4.5</v>
      </c>
      <c r="Q133">
        <v>811452.72</v>
      </c>
      <c r="R133">
        <v>131325.67000000001</v>
      </c>
    </row>
    <row r="134" spans="1:18">
      <c r="A134" s="3" t="s">
        <v>55</v>
      </c>
      <c r="B134" s="2">
        <v>45658</v>
      </c>
      <c r="C134" t="s">
        <v>20</v>
      </c>
      <c r="D134" t="s">
        <v>18</v>
      </c>
      <c r="E134">
        <f>IF(D134="Residential",1,0)</f>
        <v>0</v>
      </c>
      <c r="F134">
        <f t="shared" si="6"/>
        <v>1</v>
      </c>
      <c r="G134">
        <f t="shared" si="7"/>
        <v>0</v>
      </c>
      <c r="H134">
        <f t="shared" si="8"/>
        <v>0</v>
      </c>
      <c r="I134">
        <v>70276.28</v>
      </c>
      <c r="J134">
        <v>3043</v>
      </c>
      <c r="K134">
        <v>7.9000000000000001E-2</v>
      </c>
      <c r="L134">
        <v>9</v>
      </c>
      <c r="M134">
        <v>87.9</v>
      </c>
      <c r="N134">
        <v>3.77</v>
      </c>
      <c r="O134">
        <v>0</v>
      </c>
      <c r="P134">
        <v>4.4000000000000004</v>
      </c>
      <c r="Q134">
        <v>527300.13</v>
      </c>
      <c r="R134">
        <v>84197.87</v>
      </c>
    </row>
    <row r="135" spans="1:18">
      <c r="A135" s="3" t="s">
        <v>55</v>
      </c>
      <c r="B135" s="2">
        <v>45689</v>
      </c>
      <c r="C135" t="s">
        <v>20</v>
      </c>
      <c r="D135" t="s">
        <v>18</v>
      </c>
      <c r="E135">
        <f>IF(D135="Residential",1,0)</f>
        <v>0</v>
      </c>
      <c r="F135">
        <f t="shared" si="6"/>
        <v>1</v>
      </c>
      <c r="G135">
        <f t="shared" si="7"/>
        <v>0</v>
      </c>
      <c r="H135">
        <f t="shared" si="8"/>
        <v>0</v>
      </c>
      <c r="I135">
        <v>22071.64</v>
      </c>
      <c r="J135">
        <v>1814</v>
      </c>
      <c r="K135">
        <v>0.19600000000000001</v>
      </c>
      <c r="L135">
        <v>8</v>
      </c>
      <c r="M135">
        <v>81.099999999999994</v>
      </c>
      <c r="N135">
        <v>0.78</v>
      </c>
      <c r="O135">
        <v>0</v>
      </c>
      <c r="P135">
        <v>0</v>
      </c>
      <c r="Q135">
        <v>400831.65</v>
      </c>
      <c r="R135">
        <v>70979.31</v>
      </c>
    </row>
    <row r="136" spans="1:18">
      <c r="A136" s="3" t="s">
        <v>55</v>
      </c>
      <c r="B136" s="2">
        <v>45717</v>
      </c>
      <c r="C136" t="s">
        <v>20</v>
      </c>
      <c r="D136" t="s">
        <v>18</v>
      </c>
      <c r="E136">
        <f>IF(D136="Residential",1,0)</f>
        <v>0</v>
      </c>
      <c r="F136">
        <f t="shared" si="6"/>
        <v>1</v>
      </c>
      <c r="G136">
        <f t="shared" si="7"/>
        <v>0</v>
      </c>
      <c r="H136">
        <f t="shared" si="8"/>
        <v>0</v>
      </c>
      <c r="I136">
        <v>52285.45</v>
      </c>
      <c r="J136">
        <v>3618</v>
      </c>
      <c r="K136">
        <v>8.5999999999999993E-2</v>
      </c>
      <c r="L136">
        <v>11</v>
      </c>
      <c r="M136">
        <v>95.6</v>
      </c>
      <c r="N136">
        <v>5.17</v>
      </c>
      <c r="O136">
        <v>1</v>
      </c>
      <c r="P136">
        <v>4.4000000000000004</v>
      </c>
      <c r="Q136">
        <v>593247.25</v>
      </c>
      <c r="R136">
        <v>81240.289999999994</v>
      </c>
    </row>
    <row r="137" spans="1:18">
      <c r="A137" s="3" t="s">
        <v>55</v>
      </c>
      <c r="B137" s="2">
        <v>45748</v>
      </c>
      <c r="C137" t="s">
        <v>20</v>
      </c>
      <c r="D137" t="s">
        <v>18</v>
      </c>
      <c r="E137">
        <f>IF(D137="Residential",1,0)</f>
        <v>0</v>
      </c>
      <c r="F137">
        <f t="shared" si="6"/>
        <v>1</v>
      </c>
      <c r="G137">
        <f t="shared" si="7"/>
        <v>0</v>
      </c>
      <c r="H137">
        <f t="shared" si="8"/>
        <v>0</v>
      </c>
      <c r="I137">
        <v>70366.759999999995</v>
      </c>
      <c r="J137">
        <v>1963</v>
      </c>
      <c r="K137">
        <v>0.182</v>
      </c>
      <c r="L137">
        <v>8</v>
      </c>
      <c r="M137">
        <v>89.8</v>
      </c>
      <c r="N137">
        <v>3.2</v>
      </c>
      <c r="O137">
        <v>0</v>
      </c>
      <c r="P137">
        <v>4.5999999999999996</v>
      </c>
      <c r="Q137">
        <v>529075.94999999995</v>
      </c>
      <c r="R137">
        <v>95978.83</v>
      </c>
    </row>
    <row r="138" spans="1:18">
      <c r="A138" s="3" t="s">
        <v>56</v>
      </c>
      <c r="B138" s="2">
        <v>45658</v>
      </c>
      <c r="C138" t="s">
        <v>24</v>
      </c>
      <c r="D138" t="s">
        <v>16</v>
      </c>
      <c r="E138">
        <f>IF(D138="Residential",1,0)</f>
        <v>1</v>
      </c>
      <c r="F138">
        <f t="shared" si="6"/>
        <v>0</v>
      </c>
      <c r="G138">
        <f t="shared" si="7"/>
        <v>0</v>
      </c>
      <c r="H138">
        <f t="shared" si="8"/>
        <v>0</v>
      </c>
      <c r="I138">
        <v>71320.66</v>
      </c>
      <c r="J138">
        <v>7888</v>
      </c>
      <c r="K138">
        <v>4.8000000000000001E-2</v>
      </c>
      <c r="L138">
        <v>20</v>
      </c>
      <c r="M138">
        <v>78.099999999999994</v>
      </c>
      <c r="N138">
        <v>3.4</v>
      </c>
      <c r="O138">
        <v>0</v>
      </c>
      <c r="P138">
        <v>0</v>
      </c>
      <c r="Q138">
        <v>633638.03</v>
      </c>
      <c r="R138">
        <v>99402.01</v>
      </c>
    </row>
    <row r="139" spans="1:18">
      <c r="A139" s="3" t="s">
        <v>56</v>
      </c>
      <c r="B139" s="2">
        <v>45689</v>
      </c>
      <c r="C139" t="s">
        <v>24</v>
      </c>
      <c r="D139" t="s">
        <v>16</v>
      </c>
      <c r="E139">
        <f>IF(D139="Residential",1,0)</f>
        <v>1</v>
      </c>
      <c r="F139">
        <f t="shared" si="6"/>
        <v>0</v>
      </c>
      <c r="G139">
        <f t="shared" si="7"/>
        <v>0</v>
      </c>
      <c r="H139">
        <f t="shared" si="8"/>
        <v>0</v>
      </c>
      <c r="I139">
        <v>75109.67</v>
      </c>
      <c r="J139">
        <v>6244</v>
      </c>
      <c r="K139">
        <v>7.9000000000000001E-2</v>
      </c>
      <c r="L139">
        <v>15</v>
      </c>
      <c r="M139">
        <v>96.3</v>
      </c>
      <c r="N139">
        <v>7.38</v>
      </c>
      <c r="O139">
        <v>0</v>
      </c>
      <c r="P139">
        <v>3.7</v>
      </c>
      <c r="Q139">
        <v>743348.84</v>
      </c>
      <c r="R139">
        <v>104186.09</v>
      </c>
    </row>
    <row r="140" spans="1:18">
      <c r="A140" s="3" t="s">
        <v>56</v>
      </c>
      <c r="B140" s="2">
        <v>45717</v>
      </c>
      <c r="C140" t="s">
        <v>24</v>
      </c>
      <c r="D140" t="s">
        <v>16</v>
      </c>
      <c r="E140">
        <f>IF(D140="Residential",1,0)</f>
        <v>1</v>
      </c>
      <c r="F140">
        <f t="shared" si="6"/>
        <v>0</v>
      </c>
      <c r="G140">
        <f t="shared" si="7"/>
        <v>0</v>
      </c>
      <c r="H140">
        <f t="shared" si="8"/>
        <v>0</v>
      </c>
      <c r="I140">
        <v>69779</v>
      </c>
      <c r="J140">
        <v>6544</v>
      </c>
      <c r="K140">
        <v>0.152</v>
      </c>
      <c r="L140">
        <v>18</v>
      </c>
      <c r="M140">
        <v>90.2</v>
      </c>
      <c r="N140">
        <v>0.85</v>
      </c>
      <c r="O140">
        <v>1</v>
      </c>
      <c r="P140">
        <v>3.3</v>
      </c>
      <c r="Q140">
        <v>758827.64</v>
      </c>
      <c r="R140">
        <v>161439.48000000001</v>
      </c>
    </row>
    <row r="141" spans="1:18">
      <c r="A141" s="3" t="s">
        <v>56</v>
      </c>
      <c r="B141" s="2">
        <v>45748</v>
      </c>
      <c r="C141" t="s">
        <v>24</v>
      </c>
      <c r="D141" t="s">
        <v>16</v>
      </c>
      <c r="E141">
        <f>IF(D141="Residential",1,0)</f>
        <v>1</v>
      </c>
      <c r="F141">
        <f t="shared" si="6"/>
        <v>0</v>
      </c>
      <c r="G141">
        <f t="shared" si="7"/>
        <v>0</v>
      </c>
      <c r="H141">
        <f t="shared" si="8"/>
        <v>0</v>
      </c>
      <c r="I141">
        <v>44211.95</v>
      </c>
      <c r="J141">
        <v>5465</v>
      </c>
      <c r="K141">
        <v>0.187</v>
      </c>
      <c r="L141">
        <v>12</v>
      </c>
      <c r="M141">
        <v>90</v>
      </c>
      <c r="N141">
        <v>2.89</v>
      </c>
      <c r="O141">
        <v>0</v>
      </c>
      <c r="P141">
        <v>3.6</v>
      </c>
      <c r="Q141">
        <v>646559.71</v>
      </c>
      <c r="R141">
        <v>97981.75</v>
      </c>
    </row>
    <row r="142" spans="1:18">
      <c r="A142" s="3" t="s">
        <v>57</v>
      </c>
      <c r="B142" s="2">
        <v>45658</v>
      </c>
      <c r="C142" t="s">
        <v>27</v>
      </c>
      <c r="D142" t="s">
        <v>18</v>
      </c>
      <c r="E142">
        <f>IF(D142="Residential",1,0)</f>
        <v>0</v>
      </c>
      <c r="F142">
        <f t="shared" si="6"/>
        <v>1</v>
      </c>
      <c r="G142">
        <f t="shared" si="7"/>
        <v>0</v>
      </c>
      <c r="H142">
        <f t="shared" si="8"/>
        <v>0</v>
      </c>
      <c r="I142">
        <v>51430.31</v>
      </c>
      <c r="J142">
        <v>6427</v>
      </c>
      <c r="K142">
        <v>0.23400000000000001</v>
      </c>
      <c r="L142">
        <v>14</v>
      </c>
      <c r="M142">
        <v>88.8</v>
      </c>
      <c r="N142">
        <v>0.77</v>
      </c>
      <c r="O142">
        <v>0</v>
      </c>
      <c r="P142">
        <v>4.0999999999999996</v>
      </c>
      <c r="Q142">
        <v>715890.53</v>
      </c>
      <c r="R142">
        <v>109032.15</v>
      </c>
    </row>
    <row r="143" spans="1:18">
      <c r="A143" s="3" t="s">
        <v>57</v>
      </c>
      <c r="B143" s="2">
        <v>45689</v>
      </c>
      <c r="C143" t="s">
        <v>27</v>
      </c>
      <c r="D143" t="s">
        <v>18</v>
      </c>
      <c r="E143">
        <f>IF(D143="Residential",1,0)</f>
        <v>0</v>
      </c>
      <c r="F143">
        <f t="shared" si="6"/>
        <v>1</v>
      </c>
      <c r="G143">
        <f t="shared" si="7"/>
        <v>0</v>
      </c>
      <c r="H143">
        <f t="shared" si="8"/>
        <v>0</v>
      </c>
      <c r="I143">
        <v>45706.49</v>
      </c>
      <c r="J143">
        <v>6704</v>
      </c>
      <c r="K143">
        <v>3.7999999999999999E-2</v>
      </c>
      <c r="L143">
        <v>15</v>
      </c>
      <c r="M143">
        <v>94.2</v>
      </c>
      <c r="N143">
        <v>2.92</v>
      </c>
      <c r="O143">
        <v>0</v>
      </c>
      <c r="P143">
        <v>4.2</v>
      </c>
      <c r="Q143">
        <v>715097.57</v>
      </c>
      <c r="R143">
        <v>151875.85999999999</v>
      </c>
    </row>
    <row r="144" spans="1:18">
      <c r="A144" s="3" t="s">
        <v>57</v>
      </c>
      <c r="B144" s="2">
        <v>45717</v>
      </c>
      <c r="C144" t="s">
        <v>27</v>
      </c>
      <c r="D144" t="s">
        <v>18</v>
      </c>
      <c r="E144">
        <f>IF(D144="Residential",1,0)</f>
        <v>0</v>
      </c>
      <c r="F144">
        <f t="shared" si="6"/>
        <v>1</v>
      </c>
      <c r="G144">
        <f t="shared" si="7"/>
        <v>0</v>
      </c>
      <c r="H144">
        <f t="shared" si="8"/>
        <v>0</v>
      </c>
      <c r="I144">
        <v>44034.6</v>
      </c>
      <c r="J144">
        <v>5645</v>
      </c>
      <c r="K144">
        <v>6.9000000000000006E-2</v>
      </c>
      <c r="L144">
        <v>18</v>
      </c>
      <c r="M144">
        <v>88.5</v>
      </c>
      <c r="N144">
        <v>3.07</v>
      </c>
      <c r="O144">
        <v>0</v>
      </c>
      <c r="P144">
        <v>3.8</v>
      </c>
      <c r="Q144">
        <v>682639.28</v>
      </c>
      <c r="R144">
        <v>77557.53</v>
      </c>
    </row>
    <row r="145" spans="1:18">
      <c r="A145" s="3" t="s">
        <v>57</v>
      </c>
      <c r="B145" s="2">
        <v>45748</v>
      </c>
      <c r="C145" t="s">
        <v>27</v>
      </c>
      <c r="D145" t="s">
        <v>18</v>
      </c>
      <c r="E145">
        <f>IF(D145="Residential",1,0)</f>
        <v>0</v>
      </c>
      <c r="F145">
        <f t="shared" si="6"/>
        <v>1</v>
      </c>
      <c r="G145">
        <f t="shared" si="7"/>
        <v>0</v>
      </c>
      <c r="H145">
        <f t="shared" si="8"/>
        <v>0</v>
      </c>
      <c r="I145">
        <v>50198.12</v>
      </c>
      <c r="J145">
        <v>6089</v>
      </c>
      <c r="K145">
        <v>0.182</v>
      </c>
      <c r="L145">
        <v>19</v>
      </c>
      <c r="M145">
        <v>94</v>
      </c>
      <c r="N145">
        <v>9.6999999999999993</v>
      </c>
      <c r="O145">
        <v>0</v>
      </c>
      <c r="P145">
        <v>3.9</v>
      </c>
      <c r="Q145">
        <v>695098.51</v>
      </c>
      <c r="R145">
        <v>108192.75</v>
      </c>
    </row>
    <row r="146" spans="1:18">
      <c r="A146" s="3" t="s">
        <v>58</v>
      </c>
      <c r="B146" s="2">
        <v>45658</v>
      </c>
      <c r="C146" t="s">
        <v>20</v>
      </c>
      <c r="D146" t="s">
        <v>16</v>
      </c>
      <c r="E146">
        <f>IF(D146="Residential",1,0)</f>
        <v>1</v>
      </c>
      <c r="F146">
        <f t="shared" si="6"/>
        <v>0</v>
      </c>
      <c r="G146">
        <f t="shared" si="7"/>
        <v>0</v>
      </c>
      <c r="H146">
        <f t="shared" si="8"/>
        <v>0</v>
      </c>
      <c r="I146">
        <v>70488.2</v>
      </c>
      <c r="J146">
        <v>4312</v>
      </c>
      <c r="K146">
        <v>0.16900000000000001</v>
      </c>
      <c r="L146">
        <v>12</v>
      </c>
      <c r="M146">
        <v>90.2</v>
      </c>
      <c r="N146">
        <v>3.71</v>
      </c>
      <c r="O146">
        <v>0</v>
      </c>
      <c r="P146">
        <v>3.2</v>
      </c>
      <c r="Q146">
        <v>577732.56999999995</v>
      </c>
      <c r="R146">
        <v>93804.27</v>
      </c>
    </row>
    <row r="147" spans="1:18">
      <c r="A147" s="3" t="s">
        <v>58</v>
      </c>
      <c r="B147" s="2">
        <v>45689</v>
      </c>
      <c r="C147" t="s">
        <v>20</v>
      </c>
      <c r="D147" t="s">
        <v>16</v>
      </c>
      <c r="E147">
        <f>IF(D147="Residential",1,0)</f>
        <v>1</v>
      </c>
      <c r="F147">
        <f t="shared" si="6"/>
        <v>0</v>
      </c>
      <c r="G147">
        <f t="shared" si="7"/>
        <v>0</v>
      </c>
      <c r="H147">
        <f t="shared" si="8"/>
        <v>0</v>
      </c>
      <c r="I147">
        <v>50909.27</v>
      </c>
      <c r="J147">
        <v>3152</v>
      </c>
      <c r="K147">
        <v>0.06</v>
      </c>
      <c r="L147">
        <v>13</v>
      </c>
      <c r="M147">
        <v>93.7</v>
      </c>
      <c r="N147">
        <v>10.79</v>
      </c>
      <c r="O147">
        <v>0</v>
      </c>
      <c r="P147">
        <v>3.5</v>
      </c>
      <c r="Q147">
        <v>537058.32999999996</v>
      </c>
      <c r="R147">
        <v>93555.71</v>
      </c>
    </row>
    <row r="148" spans="1:18">
      <c r="A148" s="3" t="s">
        <v>58</v>
      </c>
      <c r="B148" s="2">
        <v>45717</v>
      </c>
      <c r="C148" t="s">
        <v>20</v>
      </c>
      <c r="D148" t="s">
        <v>16</v>
      </c>
      <c r="E148">
        <f>IF(D148="Residential",1,0)</f>
        <v>1</v>
      </c>
      <c r="F148">
        <f t="shared" si="6"/>
        <v>0</v>
      </c>
      <c r="G148">
        <f t="shared" si="7"/>
        <v>0</v>
      </c>
      <c r="H148">
        <f t="shared" si="8"/>
        <v>0</v>
      </c>
      <c r="I148">
        <v>53351.7</v>
      </c>
      <c r="J148">
        <v>4259</v>
      </c>
      <c r="K148">
        <v>0.156</v>
      </c>
      <c r="L148">
        <v>15</v>
      </c>
      <c r="M148">
        <v>93.7</v>
      </c>
      <c r="N148">
        <v>6.03</v>
      </c>
      <c r="O148">
        <v>0</v>
      </c>
      <c r="P148">
        <v>3.4</v>
      </c>
      <c r="Q148">
        <v>601568.87</v>
      </c>
      <c r="R148">
        <v>91634.82</v>
      </c>
    </row>
    <row r="149" spans="1:18">
      <c r="A149" s="3" t="s">
        <v>58</v>
      </c>
      <c r="B149" s="2">
        <v>45748</v>
      </c>
      <c r="C149" t="s">
        <v>20</v>
      </c>
      <c r="D149" t="s">
        <v>16</v>
      </c>
      <c r="E149">
        <f>IF(D149="Residential",1,0)</f>
        <v>1</v>
      </c>
      <c r="F149">
        <f t="shared" si="6"/>
        <v>0</v>
      </c>
      <c r="G149">
        <f t="shared" si="7"/>
        <v>0</v>
      </c>
      <c r="H149">
        <f t="shared" si="8"/>
        <v>0</v>
      </c>
      <c r="I149">
        <v>60322.400000000001</v>
      </c>
      <c r="J149">
        <v>3350</v>
      </c>
      <c r="K149">
        <v>0.108</v>
      </c>
      <c r="L149">
        <v>12</v>
      </c>
      <c r="M149">
        <v>89.4</v>
      </c>
      <c r="N149">
        <v>4.92</v>
      </c>
      <c r="O149">
        <v>0</v>
      </c>
      <c r="P149">
        <v>3.4</v>
      </c>
      <c r="Q149">
        <v>570964.84</v>
      </c>
      <c r="R149">
        <v>81331.070000000007</v>
      </c>
    </row>
    <row r="150" spans="1:18">
      <c r="A150" s="3" t="s">
        <v>59</v>
      </c>
      <c r="B150" s="2">
        <v>45658</v>
      </c>
      <c r="C150" t="s">
        <v>24</v>
      </c>
      <c r="D150" t="s">
        <v>28</v>
      </c>
      <c r="E150">
        <f>IF(D150="Residential",1,0)</f>
        <v>0</v>
      </c>
      <c r="F150">
        <f t="shared" si="6"/>
        <v>0</v>
      </c>
      <c r="G150">
        <f t="shared" si="7"/>
        <v>0</v>
      </c>
      <c r="H150">
        <f t="shared" si="8"/>
        <v>1</v>
      </c>
      <c r="I150">
        <v>51575.68</v>
      </c>
      <c r="J150">
        <v>5329</v>
      </c>
      <c r="K150">
        <v>4.7E-2</v>
      </c>
      <c r="L150">
        <v>17</v>
      </c>
      <c r="M150">
        <v>88.1</v>
      </c>
      <c r="N150">
        <v>19.78</v>
      </c>
      <c r="O150">
        <v>0</v>
      </c>
      <c r="P150">
        <v>3.8</v>
      </c>
      <c r="Q150">
        <v>614024.91</v>
      </c>
      <c r="R150">
        <v>84828.93</v>
      </c>
    </row>
    <row r="151" spans="1:18">
      <c r="A151" s="3" t="s">
        <v>59</v>
      </c>
      <c r="B151" s="2">
        <v>45689</v>
      </c>
      <c r="C151" t="s">
        <v>24</v>
      </c>
      <c r="D151" t="s">
        <v>28</v>
      </c>
      <c r="E151">
        <f>IF(D151="Residential",1,0)</f>
        <v>0</v>
      </c>
      <c r="F151">
        <f t="shared" si="6"/>
        <v>0</v>
      </c>
      <c r="G151">
        <f t="shared" si="7"/>
        <v>0</v>
      </c>
      <c r="H151">
        <f t="shared" si="8"/>
        <v>1</v>
      </c>
      <c r="I151">
        <v>43319.94</v>
      </c>
      <c r="J151">
        <v>6551</v>
      </c>
      <c r="K151">
        <v>4.3999999999999997E-2</v>
      </c>
      <c r="L151">
        <v>13</v>
      </c>
      <c r="M151">
        <v>99</v>
      </c>
      <c r="N151">
        <v>5.45</v>
      </c>
      <c r="O151">
        <v>0</v>
      </c>
      <c r="P151">
        <v>4.0999999999999996</v>
      </c>
      <c r="Q151">
        <v>712868.35</v>
      </c>
      <c r="R151">
        <v>133650.51</v>
      </c>
    </row>
    <row r="152" spans="1:18">
      <c r="A152" s="3" t="s">
        <v>59</v>
      </c>
      <c r="B152" s="2">
        <v>45717</v>
      </c>
      <c r="C152" t="s">
        <v>24</v>
      </c>
      <c r="D152" t="s">
        <v>28</v>
      </c>
      <c r="E152">
        <f>IF(D152="Residential",1,0)</f>
        <v>0</v>
      </c>
      <c r="F152">
        <f t="shared" si="6"/>
        <v>0</v>
      </c>
      <c r="G152">
        <f t="shared" si="7"/>
        <v>0</v>
      </c>
      <c r="H152">
        <f t="shared" si="8"/>
        <v>1</v>
      </c>
      <c r="I152">
        <v>47093.55</v>
      </c>
      <c r="J152">
        <v>5550</v>
      </c>
      <c r="K152">
        <v>0.1</v>
      </c>
      <c r="L152">
        <v>12</v>
      </c>
      <c r="M152">
        <v>95</v>
      </c>
      <c r="N152">
        <v>2.33</v>
      </c>
      <c r="O152">
        <v>1</v>
      </c>
      <c r="P152">
        <v>3.7</v>
      </c>
      <c r="Q152">
        <v>696744.15</v>
      </c>
      <c r="R152">
        <v>152230.09</v>
      </c>
    </row>
    <row r="153" spans="1:18">
      <c r="A153" s="3" t="s">
        <v>59</v>
      </c>
      <c r="B153" s="2">
        <v>45748</v>
      </c>
      <c r="C153" t="s">
        <v>24</v>
      </c>
      <c r="D153" t="s">
        <v>28</v>
      </c>
      <c r="E153">
        <f>IF(D153="Residential",1,0)</f>
        <v>0</v>
      </c>
      <c r="F153">
        <f t="shared" si="6"/>
        <v>0</v>
      </c>
      <c r="G153">
        <f t="shared" si="7"/>
        <v>0</v>
      </c>
      <c r="H153">
        <f t="shared" si="8"/>
        <v>1</v>
      </c>
      <c r="I153">
        <v>71855.09</v>
      </c>
      <c r="J153">
        <v>5911</v>
      </c>
      <c r="K153">
        <v>0.19700000000000001</v>
      </c>
      <c r="L153">
        <v>15</v>
      </c>
      <c r="M153">
        <v>94.3</v>
      </c>
      <c r="N153">
        <v>3.55</v>
      </c>
      <c r="O153">
        <v>0</v>
      </c>
      <c r="P153">
        <v>4.0999999999999996</v>
      </c>
      <c r="Q153">
        <v>725847.99</v>
      </c>
      <c r="R153">
        <v>122698.73</v>
      </c>
    </row>
    <row r="154" spans="1:18">
      <c r="A154" s="3" t="s">
        <v>60</v>
      </c>
      <c r="B154" s="2">
        <v>45658</v>
      </c>
      <c r="C154" t="s">
        <v>15</v>
      </c>
      <c r="D154" t="s">
        <v>18</v>
      </c>
      <c r="E154">
        <f>IF(D154="Residential",1,0)</f>
        <v>0</v>
      </c>
      <c r="F154">
        <f t="shared" si="6"/>
        <v>1</v>
      </c>
      <c r="G154">
        <f t="shared" si="7"/>
        <v>0</v>
      </c>
      <c r="H154">
        <f t="shared" si="8"/>
        <v>0</v>
      </c>
      <c r="I154">
        <v>75645.23</v>
      </c>
      <c r="J154">
        <v>9674</v>
      </c>
      <c r="K154">
        <v>0.23400000000000001</v>
      </c>
      <c r="L154">
        <v>21</v>
      </c>
      <c r="M154">
        <v>87.4</v>
      </c>
      <c r="N154">
        <v>0.2</v>
      </c>
      <c r="O154">
        <v>0</v>
      </c>
      <c r="P154">
        <v>4.5</v>
      </c>
      <c r="Q154">
        <v>785028.25</v>
      </c>
      <c r="R154">
        <v>110726.44</v>
      </c>
    </row>
    <row r="155" spans="1:18">
      <c r="A155" s="3" t="s">
        <v>60</v>
      </c>
      <c r="B155" s="2">
        <v>45689</v>
      </c>
      <c r="C155" t="s">
        <v>15</v>
      </c>
      <c r="D155" t="s">
        <v>18</v>
      </c>
      <c r="E155">
        <f>IF(D155="Residential",1,0)</f>
        <v>0</v>
      </c>
      <c r="F155">
        <f t="shared" si="6"/>
        <v>1</v>
      </c>
      <c r="G155">
        <f t="shared" si="7"/>
        <v>0</v>
      </c>
      <c r="H155">
        <f t="shared" si="8"/>
        <v>0</v>
      </c>
      <c r="I155">
        <v>64374.75</v>
      </c>
      <c r="J155">
        <v>6740</v>
      </c>
      <c r="K155">
        <v>0.16900000000000001</v>
      </c>
      <c r="L155">
        <v>18</v>
      </c>
      <c r="M155">
        <v>87</v>
      </c>
      <c r="N155">
        <v>2.09</v>
      </c>
      <c r="O155">
        <v>0</v>
      </c>
      <c r="P155">
        <v>4.2</v>
      </c>
      <c r="Q155">
        <v>698492.67</v>
      </c>
      <c r="R155">
        <v>117319.32</v>
      </c>
    </row>
    <row r="156" spans="1:18">
      <c r="A156" s="3" t="s">
        <v>60</v>
      </c>
      <c r="B156" s="2">
        <v>45717</v>
      </c>
      <c r="C156" t="s">
        <v>15</v>
      </c>
      <c r="D156" t="s">
        <v>18</v>
      </c>
      <c r="E156">
        <f>IF(D156="Residential",1,0)</f>
        <v>0</v>
      </c>
      <c r="F156">
        <f t="shared" si="6"/>
        <v>1</v>
      </c>
      <c r="G156">
        <f t="shared" si="7"/>
        <v>0</v>
      </c>
      <c r="H156">
        <f t="shared" si="8"/>
        <v>0</v>
      </c>
      <c r="I156">
        <v>61433.84</v>
      </c>
      <c r="J156">
        <v>7745</v>
      </c>
      <c r="K156">
        <v>0.18</v>
      </c>
      <c r="L156">
        <v>16</v>
      </c>
      <c r="M156">
        <v>90.5</v>
      </c>
      <c r="N156">
        <v>2.2599999999999998</v>
      </c>
      <c r="O156">
        <v>0</v>
      </c>
      <c r="P156">
        <v>4.2</v>
      </c>
      <c r="Q156">
        <v>685830.24</v>
      </c>
      <c r="R156">
        <v>128736.18</v>
      </c>
    </row>
    <row r="157" spans="1:18">
      <c r="A157" s="3" t="s">
        <v>60</v>
      </c>
      <c r="B157" s="2">
        <v>45748</v>
      </c>
      <c r="C157" t="s">
        <v>15</v>
      </c>
      <c r="D157" t="s">
        <v>18</v>
      </c>
      <c r="E157">
        <f>IF(D157="Residential",1,0)</f>
        <v>0</v>
      </c>
      <c r="F157">
        <f t="shared" si="6"/>
        <v>1</v>
      </c>
      <c r="G157">
        <f t="shared" si="7"/>
        <v>0</v>
      </c>
      <c r="H157">
        <f t="shared" si="8"/>
        <v>0</v>
      </c>
      <c r="I157">
        <v>42698.14</v>
      </c>
      <c r="J157">
        <v>7693</v>
      </c>
      <c r="K157">
        <v>0.187</v>
      </c>
      <c r="L157">
        <v>19</v>
      </c>
      <c r="M157">
        <v>90.1</v>
      </c>
      <c r="N157">
        <v>0.44</v>
      </c>
      <c r="O157">
        <v>0</v>
      </c>
      <c r="P157">
        <v>4.4000000000000004</v>
      </c>
      <c r="Q157">
        <v>702318.94</v>
      </c>
      <c r="R157">
        <v>112829.29</v>
      </c>
    </row>
    <row r="158" spans="1:18">
      <c r="A158" s="3" t="s">
        <v>61</v>
      </c>
      <c r="B158" s="2">
        <v>45658</v>
      </c>
      <c r="C158" t="s">
        <v>20</v>
      </c>
      <c r="D158" t="s">
        <v>28</v>
      </c>
      <c r="E158">
        <f>IF(D158="Residential",1,0)</f>
        <v>0</v>
      </c>
      <c r="F158">
        <f t="shared" si="6"/>
        <v>0</v>
      </c>
      <c r="G158">
        <f t="shared" si="7"/>
        <v>0</v>
      </c>
      <c r="H158">
        <f t="shared" si="8"/>
        <v>1</v>
      </c>
      <c r="I158">
        <v>86883.31</v>
      </c>
      <c r="J158">
        <v>6424</v>
      </c>
      <c r="K158">
        <v>5.7000000000000002E-2</v>
      </c>
      <c r="L158">
        <v>19</v>
      </c>
      <c r="M158">
        <v>85.2</v>
      </c>
      <c r="N158">
        <v>3.08</v>
      </c>
      <c r="O158">
        <v>0</v>
      </c>
      <c r="P158">
        <v>3.9</v>
      </c>
      <c r="Q158">
        <v>700078.32</v>
      </c>
      <c r="R158">
        <v>123707.58</v>
      </c>
    </row>
    <row r="159" spans="1:18">
      <c r="A159" s="3" t="s">
        <v>61</v>
      </c>
      <c r="B159" s="2">
        <v>45689</v>
      </c>
      <c r="C159" t="s">
        <v>20</v>
      </c>
      <c r="D159" t="s">
        <v>28</v>
      </c>
      <c r="E159">
        <f>IF(D159="Residential",1,0)</f>
        <v>0</v>
      </c>
      <c r="F159">
        <f t="shared" si="6"/>
        <v>0</v>
      </c>
      <c r="G159">
        <f t="shared" si="7"/>
        <v>0</v>
      </c>
      <c r="H159">
        <f t="shared" si="8"/>
        <v>1</v>
      </c>
      <c r="I159">
        <v>41863.08</v>
      </c>
      <c r="J159">
        <v>5400</v>
      </c>
      <c r="K159">
        <v>0.114</v>
      </c>
      <c r="L159">
        <v>11</v>
      </c>
      <c r="M159">
        <v>91.6</v>
      </c>
      <c r="N159">
        <v>7.99</v>
      </c>
      <c r="O159">
        <v>0</v>
      </c>
      <c r="P159">
        <v>3</v>
      </c>
      <c r="Q159">
        <v>602002.31999999995</v>
      </c>
      <c r="R159">
        <v>110453.28</v>
      </c>
    </row>
    <row r="160" spans="1:18">
      <c r="A160" s="3" t="s">
        <v>61</v>
      </c>
      <c r="B160" s="2">
        <v>45717</v>
      </c>
      <c r="C160" t="s">
        <v>20</v>
      </c>
      <c r="D160" t="s">
        <v>28</v>
      </c>
      <c r="E160">
        <f>IF(D160="Residential",1,0)</f>
        <v>0</v>
      </c>
      <c r="F160">
        <f t="shared" si="6"/>
        <v>0</v>
      </c>
      <c r="G160">
        <f t="shared" si="7"/>
        <v>0</v>
      </c>
      <c r="H160">
        <f t="shared" si="8"/>
        <v>1</v>
      </c>
      <c r="I160">
        <v>56918.16</v>
      </c>
      <c r="J160">
        <v>7015</v>
      </c>
      <c r="K160">
        <v>0.158</v>
      </c>
      <c r="L160">
        <v>18</v>
      </c>
      <c r="M160">
        <v>74.2</v>
      </c>
      <c r="N160">
        <v>0.2</v>
      </c>
      <c r="O160">
        <v>0</v>
      </c>
      <c r="P160">
        <v>3.4</v>
      </c>
      <c r="Q160">
        <v>724216.07</v>
      </c>
      <c r="R160">
        <v>100627.56</v>
      </c>
    </row>
    <row r="161" spans="1:18">
      <c r="A161" s="3" t="s">
        <v>61</v>
      </c>
      <c r="B161" s="2">
        <v>45748</v>
      </c>
      <c r="C161" t="s">
        <v>20</v>
      </c>
      <c r="D161" t="s">
        <v>28</v>
      </c>
      <c r="E161">
        <f>IF(D161="Residential",1,0)</f>
        <v>0</v>
      </c>
      <c r="F161">
        <f t="shared" si="6"/>
        <v>0</v>
      </c>
      <c r="G161">
        <f t="shared" si="7"/>
        <v>0</v>
      </c>
      <c r="H161">
        <f t="shared" si="8"/>
        <v>1</v>
      </c>
      <c r="I161">
        <v>23254.57</v>
      </c>
      <c r="J161">
        <v>3847</v>
      </c>
      <c r="K161">
        <v>0.159</v>
      </c>
      <c r="L161">
        <v>12</v>
      </c>
      <c r="M161">
        <v>93</v>
      </c>
      <c r="N161">
        <v>5.46</v>
      </c>
      <c r="O161">
        <v>0</v>
      </c>
      <c r="P161">
        <v>3.3</v>
      </c>
      <c r="Q161">
        <v>620973.03</v>
      </c>
      <c r="R161">
        <v>72303.850000000006</v>
      </c>
    </row>
    <row r="162" spans="1:18">
      <c r="A162" s="3" t="s">
        <v>62</v>
      </c>
      <c r="B162" s="2">
        <v>45658</v>
      </c>
      <c r="C162" t="s">
        <v>24</v>
      </c>
      <c r="D162" t="s">
        <v>18</v>
      </c>
      <c r="E162">
        <f>IF(D162="Residential",1,0)</f>
        <v>0</v>
      </c>
      <c r="F162">
        <f t="shared" si="6"/>
        <v>1</v>
      </c>
      <c r="G162">
        <f t="shared" si="7"/>
        <v>0</v>
      </c>
      <c r="H162">
        <f t="shared" si="8"/>
        <v>0</v>
      </c>
      <c r="I162">
        <v>41443.410000000003</v>
      </c>
      <c r="J162">
        <v>7455</v>
      </c>
      <c r="K162">
        <v>0.17499999999999999</v>
      </c>
      <c r="L162">
        <v>16</v>
      </c>
      <c r="M162">
        <v>90.1</v>
      </c>
      <c r="N162">
        <v>4.05</v>
      </c>
      <c r="O162">
        <v>0</v>
      </c>
      <c r="P162">
        <v>4</v>
      </c>
      <c r="Q162">
        <v>650480.06000000006</v>
      </c>
      <c r="R162">
        <v>109012.07</v>
      </c>
    </row>
    <row r="163" spans="1:18">
      <c r="A163" s="3" t="s">
        <v>62</v>
      </c>
      <c r="B163" s="2">
        <v>45689</v>
      </c>
      <c r="C163" t="s">
        <v>24</v>
      </c>
      <c r="D163" t="s">
        <v>18</v>
      </c>
      <c r="E163">
        <f>IF(D163="Residential",1,0)</f>
        <v>0</v>
      </c>
      <c r="F163">
        <f t="shared" si="6"/>
        <v>1</v>
      </c>
      <c r="G163">
        <f t="shared" si="7"/>
        <v>0</v>
      </c>
      <c r="H163">
        <f t="shared" si="8"/>
        <v>0</v>
      </c>
      <c r="I163">
        <v>48438.85</v>
      </c>
      <c r="J163">
        <v>6992</v>
      </c>
      <c r="K163">
        <v>3.4000000000000002E-2</v>
      </c>
      <c r="L163">
        <v>20</v>
      </c>
      <c r="M163">
        <v>91</v>
      </c>
      <c r="N163">
        <v>4.3600000000000003</v>
      </c>
      <c r="O163">
        <v>0</v>
      </c>
      <c r="P163">
        <v>4.2</v>
      </c>
      <c r="Q163">
        <v>778298.88</v>
      </c>
      <c r="R163">
        <v>130076.72</v>
      </c>
    </row>
    <row r="164" spans="1:18">
      <c r="A164" s="3" t="s">
        <v>62</v>
      </c>
      <c r="B164" s="2">
        <v>45717</v>
      </c>
      <c r="C164" t="s">
        <v>24</v>
      </c>
      <c r="D164" t="s">
        <v>18</v>
      </c>
      <c r="E164">
        <f>IF(D164="Residential",1,0)</f>
        <v>0</v>
      </c>
      <c r="F164">
        <f t="shared" si="6"/>
        <v>1</v>
      </c>
      <c r="G164">
        <f t="shared" si="7"/>
        <v>0</v>
      </c>
      <c r="H164">
        <f t="shared" si="8"/>
        <v>0</v>
      </c>
      <c r="I164">
        <v>57143.3</v>
      </c>
      <c r="J164">
        <v>8038</v>
      </c>
      <c r="K164">
        <v>0.193</v>
      </c>
      <c r="L164">
        <v>17</v>
      </c>
      <c r="M164">
        <v>72.599999999999994</v>
      </c>
      <c r="O164">
        <v>0</v>
      </c>
      <c r="P164">
        <v>4.2</v>
      </c>
      <c r="Q164">
        <v>677096.71</v>
      </c>
      <c r="R164">
        <v>97174.11</v>
      </c>
    </row>
    <row r="165" spans="1:18">
      <c r="A165" s="3" t="s">
        <v>62</v>
      </c>
      <c r="B165" s="2">
        <v>45748</v>
      </c>
      <c r="C165" t="s">
        <v>24</v>
      </c>
      <c r="D165" t="s">
        <v>18</v>
      </c>
      <c r="E165">
        <f>IF(D165="Residential",1,0)</f>
        <v>0</v>
      </c>
      <c r="F165">
        <f t="shared" si="6"/>
        <v>1</v>
      </c>
      <c r="G165">
        <f t="shared" si="7"/>
        <v>0</v>
      </c>
      <c r="H165">
        <f t="shared" si="8"/>
        <v>0</v>
      </c>
      <c r="I165">
        <v>66870.62</v>
      </c>
      <c r="J165">
        <v>6055</v>
      </c>
      <c r="K165">
        <v>7.4999999999999997E-2</v>
      </c>
      <c r="L165">
        <v>19</v>
      </c>
      <c r="M165">
        <v>93.8</v>
      </c>
      <c r="N165">
        <v>0.54</v>
      </c>
      <c r="O165">
        <v>0</v>
      </c>
      <c r="P165">
        <v>4.3</v>
      </c>
      <c r="Q165">
        <v>692008.64</v>
      </c>
      <c r="R165">
        <v>116337.87</v>
      </c>
    </row>
    <row r="166" spans="1:18">
      <c r="A166" s="3" t="s">
        <v>63</v>
      </c>
      <c r="B166" s="2">
        <v>45658</v>
      </c>
      <c r="C166" t="s">
        <v>20</v>
      </c>
      <c r="D166" t="s">
        <v>28</v>
      </c>
      <c r="E166">
        <f>IF(D166="Residential",1,0)</f>
        <v>0</v>
      </c>
      <c r="F166">
        <f t="shared" si="6"/>
        <v>0</v>
      </c>
      <c r="G166">
        <f t="shared" si="7"/>
        <v>0</v>
      </c>
      <c r="H166">
        <f t="shared" si="8"/>
        <v>1</v>
      </c>
      <c r="I166">
        <v>72150.53</v>
      </c>
      <c r="J166">
        <v>9323</v>
      </c>
      <c r="K166">
        <v>0.157</v>
      </c>
      <c r="L166">
        <v>22</v>
      </c>
      <c r="M166">
        <v>82.9</v>
      </c>
      <c r="N166">
        <v>11.37</v>
      </c>
      <c r="O166">
        <v>1</v>
      </c>
      <c r="P166">
        <v>4.3</v>
      </c>
      <c r="Q166">
        <v>825797.91</v>
      </c>
      <c r="R166">
        <v>130945.24</v>
      </c>
    </row>
    <row r="167" spans="1:18">
      <c r="A167" s="3" t="s">
        <v>63</v>
      </c>
      <c r="B167" s="2">
        <v>45689</v>
      </c>
      <c r="C167" t="s">
        <v>20</v>
      </c>
      <c r="D167" t="s">
        <v>28</v>
      </c>
      <c r="E167">
        <f>IF(D167="Residential",1,0)</f>
        <v>0</v>
      </c>
      <c r="F167">
        <f t="shared" si="6"/>
        <v>0</v>
      </c>
      <c r="G167">
        <f t="shared" si="7"/>
        <v>0</v>
      </c>
      <c r="H167">
        <f t="shared" si="8"/>
        <v>1</v>
      </c>
      <c r="I167">
        <v>35303.300000000003</v>
      </c>
      <c r="J167">
        <v>8789</v>
      </c>
      <c r="K167">
        <v>0.123</v>
      </c>
      <c r="L167">
        <v>22</v>
      </c>
      <c r="M167">
        <v>86.1</v>
      </c>
      <c r="N167">
        <v>9.43</v>
      </c>
      <c r="O167">
        <v>0</v>
      </c>
      <c r="P167">
        <v>4.2</v>
      </c>
      <c r="Q167">
        <v>706285.52</v>
      </c>
      <c r="R167">
        <v>138014.72</v>
      </c>
    </row>
    <row r="168" spans="1:18">
      <c r="A168" s="3" t="s">
        <v>63</v>
      </c>
      <c r="B168" s="2">
        <v>45717</v>
      </c>
      <c r="C168" t="s">
        <v>20</v>
      </c>
      <c r="D168" t="s">
        <v>28</v>
      </c>
      <c r="E168">
        <f>IF(D168="Residential",1,0)</f>
        <v>0</v>
      </c>
      <c r="F168">
        <f t="shared" si="6"/>
        <v>0</v>
      </c>
      <c r="G168">
        <f t="shared" si="7"/>
        <v>0</v>
      </c>
      <c r="H168">
        <f t="shared" si="8"/>
        <v>1</v>
      </c>
      <c r="I168">
        <v>30301.86</v>
      </c>
      <c r="J168">
        <v>6939</v>
      </c>
      <c r="K168">
        <v>0.09</v>
      </c>
      <c r="L168">
        <v>16</v>
      </c>
      <c r="M168">
        <v>90.3</v>
      </c>
      <c r="N168">
        <v>3.49</v>
      </c>
      <c r="O168">
        <v>0</v>
      </c>
      <c r="P168">
        <v>4</v>
      </c>
      <c r="Q168">
        <v>665534.69999999995</v>
      </c>
      <c r="R168">
        <v>113167.73</v>
      </c>
    </row>
    <row r="169" spans="1:18">
      <c r="A169" s="3" t="s">
        <v>63</v>
      </c>
      <c r="B169" s="2">
        <v>45748</v>
      </c>
      <c r="C169" t="s">
        <v>20</v>
      </c>
      <c r="D169" t="s">
        <v>28</v>
      </c>
      <c r="E169">
        <f>IF(D169="Residential",1,0)</f>
        <v>0</v>
      </c>
      <c r="F169">
        <f t="shared" si="6"/>
        <v>0</v>
      </c>
      <c r="G169">
        <f t="shared" si="7"/>
        <v>0</v>
      </c>
      <c r="H169">
        <f t="shared" si="8"/>
        <v>1</v>
      </c>
      <c r="I169">
        <v>78432.14</v>
      </c>
      <c r="J169">
        <v>9440</v>
      </c>
      <c r="K169">
        <v>0.126</v>
      </c>
      <c r="L169">
        <v>23</v>
      </c>
      <c r="M169">
        <v>89.2</v>
      </c>
      <c r="N169">
        <v>7.86</v>
      </c>
      <c r="O169">
        <v>0</v>
      </c>
      <c r="P169">
        <v>4.0999999999999996</v>
      </c>
      <c r="Q169">
        <v>820729.29</v>
      </c>
      <c r="R169">
        <v>159325.47</v>
      </c>
    </row>
    <row r="170" spans="1:18">
      <c r="A170" s="3" t="s">
        <v>64</v>
      </c>
      <c r="B170" s="2">
        <v>45658</v>
      </c>
      <c r="C170" t="s">
        <v>15</v>
      </c>
      <c r="D170" t="s">
        <v>16</v>
      </c>
      <c r="E170">
        <f>IF(D170="Residential",1,0)</f>
        <v>1</v>
      </c>
      <c r="F170">
        <f t="shared" si="6"/>
        <v>0</v>
      </c>
      <c r="G170">
        <f t="shared" si="7"/>
        <v>0</v>
      </c>
      <c r="H170">
        <f t="shared" si="8"/>
        <v>0</v>
      </c>
      <c r="I170">
        <v>62059.18</v>
      </c>
      <c r="J170">
        <v>9374</v>
      </c>
      <c r="K170">
        <v>0.13600000000000001</v>
      </c>
      <c r="L170">
        <v>25</v>
      </c>
      <c r="M170">
        <v>87.1</v>
      </c>
      <c r="N170">
        <v>12.55</v>
      </c>
      <c r="O170">
        <v>0</v>
      </c>
      <c r="P170">
        <v>4.9000000000000004</v>
      </c>
      <c r="Q170">
        <v>739831.73</v>
      </c>
      <c r="R170">
        <v>119490.21</v>
      </c>
    </row>
    <row r="171" spans="1:18">
      <c r="A171" s="3" t="s">
        <v>64</v>
      </c>
      <c r="B171" s="2">
        <v>45689</v>
      </c>
      <c r="C171" t="s">
        <v>15</v>
      </c>
      <c r="D171" t="s">
        <v>16</v>
      </c>
      <c r="E171">
        <f>IF(D171="Residential",1,0)</f>
        <v>1</v>
      </c>
      <c r="F171">
        <f t="shared" si="6"/>
        <v>0</v>
      </c>
      <c r="G171">
        <f t="shared" si="7"/>
        <v>0</v>
      </c>
      <c r="H171">
        <f t="shared" si="8"/>
        <v>0</v>
      </c>
      <c r="I171">
        <v>32834.480000000003</v>
      </c>
      <c r="J171">
        <v>7576</v>
      </c>
      <c r="K171">
        <v>9.9000000000000005E-2</v>
      </c>
      <c r="L171">
        <v>15</v>
      </c>
      <c r="M171">
        <v>84.1</v>
      </c>
      <c r="N171">
        <v>3.48</v>
      </c>
      <c r="O171">
        <v>0</v>
      </c>
      <c r="P171">
        <v>5</v>
      </c>
      <c r="Q171">
        <v>593637.14</v>
      </c>
      <c r="R171">
        <v>106648.14</v>
      </c>
    </row>
    <row r="172" spans="1:18">
      <c r="A172" s="3" t="s">
        <v>64</v>
      </c>
      <c r="B172" s="2">
        <v>45717</v>
      </c>
      <c r="C172" t="s">
        <v>15</v>
      </c>
      <c r="D172" t="s">
        <v>16</v>
      </c>
      <c r="E172">
        <f>IF(D172="Residential",1,0)</f>
        <v>1</v>
      </c>
      <c r="F172">
        <f t="shared" si="6"/>
        <v>0</v>
      </c>
      <c r="G172">
        <f t="shared" si="7"/>
        <v>0</v>
      </c>
      <c r="H172">
        <f t="shared" si="8"/>
        <v>0</v>
      </c>
      <c r="I172">
        <v>50825.08</v>
      </c>
      <c r="J172">
        <v>8949</v>
      </c>
      <c r="K172">
        <v>0.157</v>
      </c>
      <c r="L172">
        <v>21</v>
      </c>
      <c r="M172">
        <v>84.7</v>
      </c>
      <c r="N172">
        <v>7.73</v>
      </c>
      <c r="O172">
        <v>0</v>
      </c>
      <c r="P172">
        <v>4.9000000000000004</v>
      </c>
      <c r="Q172">
        <v>769702.76</v>
      </c>
      <c r="R172">
        <v>158697</v>
      </c>
    </row>
    <row r="173" spans="1:18">
      <c r="A173" s="3" t="s">
        <v>64</v>
      </c>
      <c r="B173" s="2">
        <v>45748</v>
      </c>
      <c r="C173" t="s">
        <v>15</v>
      </c>
      <c r="D173" t="s">
        <v>16</v>
      </c>
      <c r="E173">
        <f>IF(D173="Residential",1,0)</f>
        <v>1</v>
      </c>
      <c r="F173">
        <f t="shared" si="6"/>
        <v>0</v>
      </c>
      <c r="G173">
        <f t="shared" si="7"/>
        <v>0</v>
      </c>
      <c r="H173">
        <f t="shared" si="8"/>
        <v>0</v>
      </c>
      <c r="I173">
        <v>36606.51</v>
      </c>
      <c r="J173">
        <v>7671</v>
      </c>
      <c r="K173">
        <v>0.11799999999999999</v>
      </c>
      <c r="L173">
        <v>18</v>
      </c>
      <c r="M173">
        <v>89.8</v>
      </c>
      <c r="N173">
        <v>0.25</v>
      </c>
      <c r="O173">
        <v>0</v>
      </c>
      <c r="P173">
        <v>4.4000000000000004</v>
      </c>
      <c r="Q173">
        <v>679731.57</v>
      </c>
      <c r="R173">
        <v>121546.42</v>
      </c>
    </row>
    <row r="174" spans="1:18">
      <c r="A174" s="3" t="s">
        <v>65</v>
      </c>
      <c r="B174" s="2">
        <v>45658</v>
      </c>
      <c r="C174" t="s">
        <v>15</v>
      </c>
      <c r="D174" t="s">
        <v>16</v>
      </c>
      <c r="E174">
        <f>IF(D174="Residential",1,0)</f>
        <v>1</v>
      </c>
      <c r="F174">
        <f t="shared" si="6"/>
        <v>0</v>
      </c>
      <c r="G174">
        <f t="shared" si="7"/>
        <v>0</v>
      </c>
      <c r="H174">
        <f t="shared" si="8"/>
        <v>0</v>
      </c>
      <c r="I174">
        <v>65237.79</v>
      </c>
      <c r="J174">
        <v>8741</v>
      </c>
      <c r="K174">
        <v>0.157</v>
      </c>
      <c r="L174">
        <v>20</v>
      </c>
      <c r="M174">
        <v>94.4</v>
      </c>
      <c r="N174">
        <v>6.43</v>
      </c>
      <c r="O174">
        <v>0</v>
      </c>
      <c r="P174">
        <v>3.3</v>
      </c>
      <c r="Q174">
        <v>780344.18</v>
      </c>
      <c r="R174">
        <v>118239.09</v>
      </c>
    </row>
    <row r="175" spans="1:18">
      <c r="A175" s="3" t="s">
        <v>65</v>
      </c>
      <c r="B175" s="2">
        <v>45689</v>
      </c>
      <c r="C175" t="s">
        <v>15</v>
      </c>
      <c r="D175" t="s">
        <v>16</v>
      </c>
      <c r="E175">
        <f>IF(D175="Residential",1,0)</f>
        <v>1</v>
      </c>
      <c r="F175">
        <f t="shared" si="6"/>
        <v>0</v>
      </c>
      <c r="G175">
        <f t="shared" si="7"/>
        <v>0</v>
      </c>
      <c r="H175">
        <f t="shared" si="8"/>
        <v>0</v>
      </c>
      <c r="I175">
        <v>43645.98</v>
      </c>
      <c r="J175">
        <v>9480</v>
      </c>
      <c r="K175">
        <v>0.109</v>
      </c>
      <c r="L175">
        <v>22</v>
      </c>
      <c r="M175">
        <v>89</v>
      </c>
      <c r="N175">
        <v>2.11</v>
      </c>
      <c r="O175">
        <v>0</v>
      </c>
      <c r="P175">
        <v>3.1</v>
      </c>
      <c r="Q175">
        <v>721364.11</v>
      </c>
      <c r="R175">
        <v>147272.81</v>
      </c>
    </row>
    <row r="176" spans="1:18">
      <c r="A176" s="3" t="s">
        <v>65</v>
      </c>
      <c r="B176" s="2">
        <v>45717</v>
      </c>
      <c r="C176" t="s">
        <v>15</v>
      </c>
      <c r="D176" t="s">
        <v>16</v>
      </c>
      <c r="E176">
        <f>IF(D176="Residential",1,0)</f>
        <v>1</v>
      </c>
      <c r="F176">
        <f t="shared" si="6"/>
        <v>0</v>
      </c>
      <c r="G176">
        <f t="shared" si="7"/>
        <v>0</v>
      </c>
      <c r="H176">
        <f t="shared" si="8"/>
        <v>0</v>
      </c>
      <c r="I176">
        <v>68040.149999999994</v>
      </c>
      <c r="J176">
        <v>9826</v>
      </c>
      <c r="K176">
        <v>0.125</v>
      </c>
      <c r="L176">
        <v>20</v>
      </c>
      <c r="M176">
        <v>83.9</v>
      </c>
      <c r="N176">
        <v>9.1199999999999992</v>
      </c>
      <c r="O176">
        <v>0</v>
      </c>
      <c r="P176">
        <v>3.6</v>
      </c>
      <c r="Q176">
        <v>758138.29</v>
      </c>
      <c r="R176">
        <v>132975.26</v>
      </c>
    </row>
    <row r="177" spans="1:18">
      <c r="A177" s="3" t="s">
        <v>65</v>
      </c>
      <c r="B177" s="2">
        <v>45748</v>
      </c>
      <c r="C177" t="s">
        <v>15</v>
      </c>
      <c r="D177" t="s">
        <v>16</v>
      </c>
      <c r="E177">
        <f>IF(D177="Residential",1,0)</f>
        <v>1</v>
      </c>
      <c r="F177">
        <f t="shared" si="6"/>
        <v>0</v>
      </c>
      <c r="G177">
        <f t="shared" si="7"/>
        <v>0</v>
      </c>
      <c r="H177">
        <f t="shared" si="8"/>
        <v>0</v>
      </c>
      <c r="I177">
        <v>63043.94</v>
      </c>
      <c r="J177">
        <v>10402</v>
      </c>
      <c r="K177">
        <v>0.159</v>
      </c>
      <c r="L177">
        <v>23</v>
      </c>
      <c r="M177">
        <v>93.9</v>
      </c>
      <c r="N177">
        <v>2.71</v>
      </c>
      <c r="O177">
        <v>0</v>
      </c>
      <c r="P177">
        <v>3.1</v>
      </c>
      <c r="Q177">
        <v>804264</v>
      </c>
      <c r="R177">
        <v>167117.91</v>
      </c>
    </row>
    <row r="178" spans="1:18">
      <c r="A178" s="3" t="s">
        <v>66</v>
      </c>
      <c r="B178" s="2">
        <v>45658</v>
      </c>
      <c r="C178" t="s">
        <v>27</v>
      </c>
      <c r="D178" t="s">
        <v>21</v>
      </c>
      <c r="E178">
        <f>IF(D178="Residential",1,0)</f>
        <v>0</v>
      </c>
      <c r="F178">
        <f t="shared" si="6"/>
        <v>0</v>
      </c>
      <c r="G178">
        <f t="shared" si="7"/>
        <v>1</v>
      </c>
      <c r="H178">
        <f t="shared" si="8"/>
        <v>0</v>
      </c>
      <c r="I178">
        <v>67494.09</v>
      </c>
      <c r="J178">
        <v>12361</v>
      </c>
      <c r="K178">
        <v>4.5999999999999999E-2</v>
      </c>
      <c r="L178">
        <v>24</v>
      </c>
      <c r="M178">
        <v>76.599999999999994</v>
      </c>
      <c r="N178">
        <v>3.65</v>
      </c>
      <c r="O178">
        <v>1</v>
      </c>
      <c r="P178">
        <v>3.7</v>
      </c>
      <c r="Q178">
        <v>887537.75</v>
      </c>
      <c r="R178">
        <v>160362.92000000001</v>
      </c>
    </row>
    <row r="179" spans="1:18">
      <c r="A179" s="3" t="s">
        <v>66</v>
      </c>
      <c r="B179" s="2">
        <v>45689</v>
      </c>
      <c r="C179" t="s">
        <v>27</v>
      </c>
      <c r="D179" t="s">
        <v>21</v>
      </c>
      <c r="E179">
        <f>IF(D179="Residential",1,0)</f>
        <v>0</v>
      </c>
      <c r="F179">
        <f t="shared" si="6"/>
        <v>0</v>
      </c>
      <c r="G179">
        <f t="shared" si="7"/>
        <v>1</v>
      </c>
      <c r="H179">
        <f t="shared" si="8"/>
        <v>0</v>
      </c>
      <c r="I179">
        <v>29389.32</v>
      </c>
      <c r="J179">
        <v>7925</v>
      </c>
      <c r="K179">
        <v>0.17699999999999999</v>
      </c>
      <c r="L179">
        <v>21</v>
      </c>
      <c r="M179">
        <v>90.9</v>
      </c>
      <c r="N179">
        <v>7.86</v>
      </c>
      <c r="O179">
        <v>0</v>
      </c>
      <c r="P179">
        <v>4</v>
      </c>
      <c r="Q179">
        <v>783582</v>
      </c>
      <c r="R179">
        <v>130670.93</v>
      </c>
    </row>
    <row r="180" spans="1:18">
      <c r="A180" s="3" t="s">
        <v>66</v>
      </c>
      <c r="B180" s="2">
        <v>45717</v>
      </c>
      <c r="C180" t="s">
        <v>27</v>
      </c>
      <c r="D180" t="s">
        <v>21</v>
      </c>
      <c r="E180">
        <f>IF(D180="Residential",1,0)</f>
        <v>0</v>
      </c>
      <c r="F180">
        <f t="shared" si="6"/>
        <v>0</v>
      </c>
      <c r="G180">
        <f t="shared" si="7"/>
        <v>1</v>
      </c>
      <c r="H180">
        <f t="shared" si="8"/>
        <v>0</v>
      </c>
      <c r="I180">
        <v>40535.089999999997</v>
      </c>
      <c r="J180">
        <v>8870</v>
      </c>
      <c r="K180">
        <v>4.1000000000000002E-2</v>
      </c>
      <c r="L180">
        <v>21</v>
      </c>
      <c r="M180">
        <v>86.6</v>
      </c>
      <c r="N180">
        <v>0.3</v>
      </c>
      <c r="O180">
        <v>0</v>
      </c>
      <c r="P180">
        <v>4.0999999999999996</v>
      </c>
      <c r="Q180">
        <v>781955.52</v>
      </c>
      <c r="R180">
        <v>152578.71</v>
      </c>
    </row>
    <row r="181" spans="1:18">
      <c r="A181" s="3" t="s">
        <v>66</v>
      </c>
      <c r="B181" s="2">
        <v>45748</v>
      </c>
      <c r="C181" t="s">
        <v>27</v>
      </c>
      <c r="D181" t="s">
        <v>21</v>
      </c>
      <c r="E181">
        <f>IF(D181="Residential",1,0)</f>
        <v>0</v>
      </c>
      <c r="F181">
        <f t="shared" si="6"/>
        <v>0</v>
      </c>
      <c r="G181">
        <f t="shared" si="7"/>
        <v>1</v>
      </c>
      <c r="H181">
        <f t="shared" si="8"/>
        <v>0</v>
      </c>
      <c r="I181">
        <v>74881.56</v>
      </c>
      <c r="J181">
        <v>9999</v>
      </c>
      <c r="K181">
        <v>1.2999999999999999E-2</v>
      </c>
      <c r="L181">
        <v>20</v>
      </c>
      <c r="M181">
        <v>89.6</v>
      </c>
      <c r="N181">
        <v>8.44</v>
      </c>
      <c r="O181">
        <v>0</v>
      </c>
      <c r="P181">
        <v>4.0999999999999996</v>
      </c>
      <c r="Q181">
        <v>898031.04</v>
      </c>
      <c r="R181">
        <v>138666.5</v>
      </c>
    </row>
    <row r="182" spans="1:18">
      <c r="A182" s="3" t="s">
        <v>67</v>
      </c>
      <c r="B182" s="2">
        <v>45658</v>
      </c>
      <c r="C182" t="s">
        <v>27</v>
      </c>
      <c r="D182" t="s">
        <v>16</v>
      </c>
      <c r="E182">
        <f>IF(D182="Residential",1,0)</f>
        <v>1</v>
      </c>
      <c r="F182">
        <f t="shared" si="6"/>
        <v>0</v>
      </c>
      <c r="G182">
        <f t="shared" si="7"/>
        <v>0</v>
      </c>
      <c r="H182">
        <f t="shared" si="8"/>
        <v>0</v>
      </c>
      <c r="I182">
        <v>68491.11</v>
      </c>
      <c r="J182">
        <v>11154</v>
      </c>
      <c r="K182">
        <v>1E-3</v>
      </c>
      <c r="L182">
        <v>24</v>
      </c>
      <c r="M182">
        <v>89.4</v>
      </c>
      <c r="N182">
        <v>5.27</v>
      </c>
      <c r="O182">
        <v>1</v>
      </c>
      <c r="P182">
        <v>3.9</v>
      </c>
      <c r="Q182">
        <v>855341.28</v>
      </c>
      <c r="R182">
        <v>175823.8</v>
      </c>
    </row>
    <row r="183" spans="1:18">
      <c r="A183" s="3" t="s">
        <v>67</v>
      </c>
      <c r="B183" s="2">
        <v>45689</v>
      </c>
      <c r="C183" t="s">
        <v>27</v>
      </c>
      <c r="D183" t="s">
        <v>16</v>
      </c>
      <c r="E183">
        <f>IF(D183="Residential",1,0)</f>
        <v>1</v>
      </c>
      <c r="F183">
        <f t="shared" si="6"/>
        <v>0</v>
      </c>
      <c r="G183">
        <f t="shared" si="7"/>
        <v>0</v>
      </c>
      <c r="H183">
        <f t="shared" si="8"/>
        <v>0</v>
      </c>
      <c r="I183">
        <v>45209.25</v>
      </c>
      <c r="J183">
        <v>9287</v>
      </c>
      <c r="K183">
        <v>0.14099999999999999</v>
      </c>
      <c r="L183">
        <v>22</v>
      </c>
      <c r="M183">
        <v>86.4</v>
      </c>
      <c r="N183">
        <v>13.22</v>
      </c>
      <c r="O183">
        <v>0</v>
      </c>
      <c r="P183">
        <v>3.6</v>
      </c>
      <c r="Q183">
        <v>751393.88</v>
      </c>
      <c r="R183">
        <v>91480.320000000007</v>
      </c>
    </row>
    <row r="184" spans="1:18">
      <c r="A184" s="3" t="s">
        <v>67</v>
      </c>
      <c r="B184" s="2">
        <v>45717</v>
      </c>
      <c r="C184" t="s">
        <v>27</v>
      </c>
      <c r="D184" t="s">
        <v>16</v>
      </c>
      <c r="E184">
        <f>IF(D184="Residential",1,0)</f>
        <v>1</v>
      </c>
      <c r="F184">
        <f t="shared" si="6"/>
        <v>0</v>
      </c>
      <c r="G184">
        <f t="shared" si="7"/>
        <v>0</v>
      </c>
      <c r="H184">
        <f t="shared" si="8"/>
        <v>0</v>
      </c>
      <c r="I184">
        <v>63010.23</v>
      </c>
      <c r="J184">
        <v>9812</v>
      </c>
      <c r="K184">
        <v>0.113</v>
      </c>
      <c r="L184">
        <v>24</v>
      </c>
      <c r="M184">
        <v>76.8</v>
      </c>
      <c r="N184">
        <v>1.02</v>
      </c>
      <c r="O184">
        <v>1</v>
      </c>
      <c r="P184">
        <v>3.8</v>
      </c>
      <c r="Q184">
        <v>761077.08</v>
      </c>
      <c r="R184">
        <v>113605.93</v>
      </c>
    </row>
    <row r="185" spans="1:18">
      <c r="A185" s="3" t="s">
        <v>67</v>
      </c>
      <c r="B185" s="2">
        <v>45748</v>
      </c>
      <c r="C185" t="s">
        <v>27</v>
      </c>
      <c r="D185" t="s">
        <v>16</v>
      </c>
      <c r="E185">
        <f>IF(D185="Residential",1,0)</f>
        <v>1</v>
      </c>
      <c r="F185">
        <f t="shared" si="6"/>
        <v>0</v>
      </c>
      <c r="G185">
        <f t="shared" si="7"/>
        <v>0</v>
      </c>
      <c r="H185">
        <f t="shared" si="8"/>
        <v>0</v>
      </c>
      <c r="I185">
        <v>57948.88</v>
      </c>
      <c r="J185">
        <v>10741</v>
      </c>
      <c r="K185">
        <v>7.0000000000000007E-2</v>
      </c>
      <c r="L185">
        <v>25</v>
      </c>
      <c r="M185">
        <v>90.1</v>
      </c>
      <c r="N185">
        <v>4.03</v>
      </c>
      <c r="O185">
        <v>0</v>
      </c>
      <c r="P185">
        <v>3.1</v>
      </c>
      <c r="Q185">
        <v>819660.59</v>
      </c>
      <c r="R185">
        <v>172699.95</v>
      </c>
    </row>
    <row r="186" spans="1:18">
      <c r="A186" s="3" t="s">
        <v>68</v>
      </c>
      <c r="B186" s="2">
        <v>45658</v>
      </c>
      <c r="C186" t="s">
        <v>20</v>
      </c>
      <c r="D186" t="s">
        <v>18</v>
      </c>
      <c r="E186">
        <f>IF(D186="Residential",1,0)</f>
        <v>0</v>
      </c>
      <c r="F186">
        <f t="shared" si="6"/>
        <v>1</v>
      </c>
      <c r="G186">
        <f t="shared" si="7"/>
        <v>0</v>
      </c>
      <c r="H186">
        <f t="shared" si="8"/>
        <v>0</v>
      </c>
      <c r="I186">
        <v>71941.62</v>
      </c>
      <c r="J186">
        <v>6084</v>
      </c>
      <c r="K186">
        <v>7.1999999999999995E-2</v>
      </c>
      <c r="L186">
        <v>13</v>
      </c>
      <c r="M186">
        <v>93.7</v>
      </c>
      <c r="N186">
        <v>2.34</v>
      </c>
      <c r="O186">
        <v>0</v>
      </c>
      <c r="P186">
        <v>4.4000000000000004</v>
      </c>
      <c r="Q186">
        <v>681855.56</v>
      </c>
      <c r="R186">
        <v>117645.61</v>
      </c>
    </row>
    <row r="187" spans="1:18">
      <c r="A187" s="3" t="s">
        <v>68</v>
      </c>
      <c r="B187" s="2">
        <v>45689</v>
      </c>
      <c r="C187" t="s">
        <v>20</v>
      </c>
      <c r="D187" t="s">
        <v>18</v>
      </c>
      <c r="E187">
        <f>IF(D187="Residential",1,0)</f>
        <v>0</v>
      </c>
      <c r="F187">
        <f t="shared" si="6"/>
        <v>1</v>
      </c>
      <c r="G187">
        <f t="shared" si="7"/>
        <v>0</v>
      </c>
      <c r="H187">
        <f t="shared" si="8"/>
        <v>0</v>
      </c>
      <c r="I187">
        <v>57147.88</v>
      </c>
      <c r="J187">
        <v>5252</v>
      </c>
      <c r="K187">
        <v>0.161</v>
      </c>
      <c r="L187">
        <v>15</v>
      </c>
      <c r="M187">
        <v>95.5</v>
      </c>
      <c r="N187">
        <v>8.51</v>
      </c>
      <c r="O187">
        <v>0</v>
      </c>
      <c r="P187">
        <v>4.4000000000000004</v>
      </c>
      <c r="Q187">
        <v>678311.17</v>
      </c>
      <c r="R187">
        <v>132029.76000000001</v>
      </c>
    </row>
    <row r="188" spans="1:18">
      <c r="A188" s="3" t="s">
        <v>68</v>
      </c>
      <c r="B188" s="2">
        <v>45717</v>
      </c>
      <c r="C188" t="s">
        <v>20</v>
      </c>
      <c r="D188" t="s">
        <v>18</v>
      </c>
      <c r="E188">
        <f>IF(D188="Residential",1,0)</f>
        <v>0</v>
      </c>
      <c r="F188">
        <f t="shared" si="6"/>
        <v>1</v>
      </c>
      <c r="G188">
        <f t="shared" si="7"/>
        <v>0</v>
      </c>
      <c r="H188">
        <f t="shared" si="8"/>
        <v>0</v>
      </c>
      <c r="I188">
        <v>48031.74</v>
      </c>
      <c r="J188">
        <v>6516</v>
      </c>
      <c r="K188">
        <v>6.7000000000000004E-2</v>
      </c>
      <c r="L188">
        <v>14</v>
      </c>
      <c r="M188">
        <v>99</v>
      </c>
      <c r="N188">
        <v>0.48</v>
      </c>
      <c r="O188">
        <v>1</v>
      </c>
      <c r="P188">
        <v>4.3</v>
      </c>
      <c r="Q188">
        <v>765906.95</v>
      </c>
      <c r="R188">
        <v>114005.9</v>
      </c>
    </row>
    <row r="189" spans="1:18">
      <c r="A189" s="3" t="s">
        <v>68</v>
      </c>
      <c r="B189" s="2">
        <v>45748</v>
      </c>
      <c r="C189" t="s">
        <v>20</v>
      </c>
      <c r="D189" t="s">
        <v>18</v>
      </c>
      <c r="E189">
        <f>IF(D189="Residential",1,0)</f>
        <v>0</v>
      </c>
      <c r="F189">
        <f t="shared" si="6"/>
        <v>1</v>
      </c>
      <c r="G189">
        <f t="shared" si="7"/>
        <v>0</v>
      </c>
      <c r="H189">
        <f t="shared" si="8"/>
        <v>0</v>
      </c>
      <c r="I189">
        <v>72784.800000000003</v>
      </c>
      <c r="J189">
        <v>7932</v>
      </c>
      <c r="K189">
        <v>9.4E-2</v>
      </c>
      <c r="L189">
        <v>20</v>
      </c>
      <c r="M189">
        <v>74.900000000000006</v>
      </c>
      <c r="N189">
        <v>13.62</v>
      </c>
      <c r="O189">
        <v>0</v>
      </c>
      <c r="P189">
        <v>4.2</v>
      </c>
      <c r="Q189">
        <v>712546.38</v>
      </c>
      <c r="R189">
        <v>101480.04</v>
      </c>
    </row>
    <row r="190" spans="1:18">
      <c r="A190" s="3" t="s">
        <v>69</v>
      </c>
      <c r="B190" s="2">
        <v>45658</v>
      </c>
      <c r="C190" t="s">
        <v>15</v>
      </c>
      <c r="D190" t="s">
        <v>18</v>
      </c>
      <c r="E190">
        <f>IF(D190="Residential",1,0)</f>
        <v>0</v>
      </c>
      <c r="F190">
        <f t="shared" si="6"/>
        <v>1</v>
      </c>
      <c r="G190">
        <f t="shared" si="7"/>
        <v>0</v>
      </c>
      <c r="H190">
        <f t="shared" si="8"/>
        <v>0</v>
      </c>
      <c r="I190">
        <v>71641.899999999994</v>
      </c>
      <c r="J190">
        <v>3506</v>
      </c>
      <c r="K190">
        <v>0</v>
      </c>
      <c r="L190">
        <v>11</v>
      </c>
      <c r="M190">
        <v>86.4</v>
      </c>
      <c r="N190">
        <v>7.77</v>
      </c>
      <c r="O190">
        <v>0</v>
      </c>
      <c r="P190">
        <v>4.0999999999999996</v>
      </c>
      <c r="Q190">
        <v>625993.82999999996</v>
      </c>
      <c r="R190">
        <v>98960.320000000007</v>
      </c>
    </row>
    <row r="191" spans="1:18">
      <c r="A191" s="3" t="s">
        <v>69</v>
      </c>
      <c r="B191" s="2">
        <v>45689</v>
      </c>
      <c r="C191" t="s">
        <v>15</v>
      </c>
      <c r="D191" t="s">
        <v>18</v>
      </c>
      <c r="E191">
        <f>IF(D191="Residential",1,0)</f>
        <v>0</v>
      </c>
      <c r="F191">
        <f t="shared" si="6"/>
        <v>1</v>
      </c>
      <c r="G191">
        <f t="shared" si="7"/>
        <v>0</v>
      </c>
      <c r="H191">
        <f t="shared" si="8"/>
        <v>0</v>
      </c>
      <c r="I191">
        <v>55788.61</v>
      </c>
      <c r="J191">
        <v>2312</v>
      </c>
      <c r="K191">
        <v>5.8000000000000003E-2</v>
      </c>
      <c r="L191">
        <v>10</v>
      </c>
      <c r="M191">
        <v>91.3</v>
      </c>
      <c r="N191">
        <v>1.99</v>
      </c>
      <c r="O191">
        <v>0</v>
      </c>
      <c r="P191">
        <v>3.8</v>
      </c>
      <c r="Q191">
        <v>550962.93000000005</v>
      </c>
      <c r="R191">
        <v>97144.58</v>
      </c>
    </row>
    <row r="192" spans="1:18">
      <c r="A192" s="3" t="s">
        <v>69</v>
      </c>
      <c r="B192" s="2">
        <v>45717</v>
      </c>
      <c r="C192" t="s">
        <v>15</v>
      </c>
      <c r="D192" t="s">
        <v>18</v>
      </c>
      <c r="E192">
        <f>IF(D192="Residential",1,0)</f>
        <v>0</v>
      </c>
      <c r="F192">
        <f t="shared" si="6"/>
        <v>1</v>
      </c>
      <c r="G192">
        <f t="shared" si="7"/>
        <v>0</v>
      </c>
      <c r="H192">
        <f t="shared" si="8"/>
        <v>0</v>
      </c>
      <c r="I192">
        <v>37705.879999999997</v>
      </c>
      <c r="J192">
        <v>1268</v>
      </c>
      <c r="K192">
        <v>0.25900000000000001</v>
      </c>
      <c r="L192">
        <v>9</v>
      </c>
      <c r="M192">
        <v>84.1</v>
      </c>
      <c r="N192">
        <v>4.7699999999999996</v>
      </c>
      <c r="O192">
        <v>0</v>
      </c>
      <c r="P192">
        <v>3.8</v>
      </c>
      <c r="Q192">
        <v>443275.59</v>
      </c>
      <c r="R192">
        <v>53544.36</v>
      </c>
    </row>
    <row r="193" spans="1:18">
      <c r="A193" s="3" t="s">
        <v>69</v>
      </c>
      <c r="B193" s="2">
        <v>45748</v>
      </c>
      <c r="C193" t="s">
        <v>15</v>
      </c>
      <c r="D193" t="s">
        <v>18</v>
      </c>
      <c r="E193">
        <f>IF(D193="Residential",1,0)</f>
        <v>0</v>
      </c>
      <c r="F193">
        <f t="shared" si="6"/>
        <v>1</v>
      </c>
      <c r="G193">
        <f t="shared" si="7"/>
        <v>0</v>
      </c>
      <c r="H193">
        <f t="shared" si="8"/>
        <v>0</v>
      </c>
      <c r="I193">
        <v>54966.18</v>
      </c>
      <c r="J193">
        <v>4423</v>
      </c>
      <c r="K193">
        <v>0.186</v>
      </c>
      <c r="L193">
        <v>13</v>
      </c>
      <c r="M193">
        <v>88.7</v>
      </c>
      <c r="N193">
        <v>0.2</v>
      </c>
      <c r="O193">
        <v>0</v>
      </c>
      <c r="P193">
        <v>4.4000000000000004</v>
      </c>
      <c r="Q193">
        <v>554012.06999999995</v>
      </c>
      <c r="R193">
        <v>81101.62</v>
      </c>
    </row>
    <row r="194" spans="1:18">
      <c r="A194" s="3" t="s">
        <v>70</v>
      </c>
      <c r="B194" s="2">
        <v>45658</v>
      </c>
      <c r="C194" t="s">
        <v>27</v>
      </c>
      <c r="D194" t="s">
        <v>16</v>
      </c>
      <c r="E194">
        <f>IF(D194="Residential",1,0)</f>
        <v>1</v>
      </c>
      <c r="F194">
        <f t="shared" si="6"/>
        <v>0</v>
      </c>
      <c r="G194">
        <f t="shared" si="7"/>
        <v>0</v>
      </c>
      <c r="H194">
        <f t="shared" si="8"/>
        <v>0</v>
      </c>
      <c r="I194">
        <v>81796.740000000005</v>
      </c>
      <c r="J194">
        <v>6177</v>
      </c>
      <c r="K194">
        <v>0.16400000000000001</v>
      </c>
      <c r="L194">
        <v>14</v>
      </c>
      <c r="M194">
        <v>87.9</v>
      </c>
      <c r="N194">
        <v>0.53</v>
      </c>
      <c r="O194">
        <v>0</v>
      </c>
      <c r="P194">
        <v>3.2</v>
      </c>
      <c r="Q194">
        <v>643428.85</v>
      </c>
      <c r="R194">
        <v>94477.63</v>
      </c>
    </row>
    <row r="195" spans="1:18">
      <c r="A195" s="3" t="s">
        <v>70</v>
      </c>
      <c r="B195" s="2">
        <v>45689</v>
      </c>
      <c r="C195" t="s">
        <v>27</v>
      </c>
      <c r="D195" t="s">
        <v>16</v>
      </c>
      <c r="E195">
        <f>IF(D195="Residential",1,0)</f>
        <v>1</v>
      </c>
      <c r="F195">
        <f t="shared" ref="F195:T258" si="9">IF($D195="High street",1,0)</f>
        <v>0</v>
      </c>
      <c r="G195">
        <f t="shared" ref="G195:U258" si="10">IF($D195="Airport",1,0)</f>
        <v>0</v>
      </c>
      <c r="H195">
        <f t="shared" ref="H195:V258" si="11">IF($D195="Mall",1,0)</f>
        <v>0</v>
      </c>
      <c r="I195">
        <v>51133.43</v>
      </c>
      <c r="J195">
        <v>5150</v>
      </c>
      <c r="K195">
        <v>0.15</v>
      </c>
      <c r="L195">
        <v>12</v>
      </c>
      <c r="M195">
        <v>88.5</v>
      </c>
      <c r="N195">
        <v>1.54</v>
      </c>
      <c r="O195">
        <v>0</v>
      </c>
      <c r="P195">
        <v>3.2</v>
      </c>
      <c r="Q195">
        <v>611924.27</v>
      </c>
      <c r="R195">
        <v>115488.75</v>
      </c>
    </row>
    <row r="196" spans="1:18">
      <c r="A196" s="3" t="s">
        <v>70</v>
      </c>
      <c r="B196" s="2">
        <v>45717</v>
      </c>
      <c r="C196" t="s">
        <v>27</v>
      </c>
      <c r="D196" t="s">
        <v>16</v>
      </c>
      <c r="E196">
        <f>IF(D196="Residential",1,0)</f>
        <v>1</v>
      </c>
      <c r="F196">
        <f t="shared" si="9"/>
        <v>0</v>
      </c>
      <c r="G196">
        <f t="shared" si="10"/>
        <v>0</v>
      </c>
      <c r="H196">
        <f t="shared" si="11"/>
        <v>0</v>
      </c>
      <c r="I196">
        <v>40220.18</v>
      </c>
      <c r="J196">
        <v>3783</v>
      </c>
      <c r="K196">
        <v>8.8999999999999996E-2</v>
      </c>
      <c r="L196">
        <v>14</v>
      </c>
      <c r="M196">
        <v>86.6</v>
      </c>
      <c r="N196">
        <v>3.63</v>
      </c>
      <c r="O196">
        <v>0</v>
      </c>
      <c r="P196">
        <v>3.7</v>
      </c>
      <c r="Q196">
        <v>559422.02</v>
      </c>
      <c r="R196">
        <v>73528.740000000005</v>
      </c>
    </row>
    <row r="197" spans="1:18">
      <c r="A197" s="3" t="s">
        <v>70</v>
      </c>
      <c r="B197" s="2">
        <v>45748</v>
      </c>
      <c r="C197" t="s">
        <v>27</v>
      </c>
      <c r="D197" t="s">
        <v>16</v>
      </c>
      <c r="E197">
        <f>IF(D197="Residential",1,0)</f>
        <v>1</v>
      </c>
      <c r="F197">
        <f t="shared" si="9"/>
        <v>0</v>
      </c>
      <c r="G197">
        <f t="shared" si="10"/>
        <v>0</v>
      </c>
      <c r="H197">
        <f t="shared" si="11"/>
        <v>0</v>
      </c>
      <c r="I197">
        <v>41657.64</v>
      </c>
      <c r="J197">
        <v>3135</v>
      </c>
      <c r="K197">
        <v>0.22900000000000001</v>
      </c>
      <c r="L197">
        <v>7</v>
      </c>
      <c r="M197">
        <v>85.4</v>
      </c>
      <c r="N197">
        <v>13.48</v>
      </c>
      <c r="O197">
        <v>0</v>
      </c>
      <c r="P197">
        <v>0</v>
      </c>
      <c r="Q197">
        <v>449465.06</v>
      </c>
      <c r="R197">
        <v>65694.78</v>
      </c>
    </row>
    <row r="198" spans="1:18">
      <c r="A198" s="3" t="s">
        <v>71</v>
      </c>
      <c r="B198" s="2">
        <v>45658</v>
      </c>
      <c r="C198" t="s">
        <v>20</v>
      </c>
      <c r="D198" t="s">
        <v>16</v>
      </c>
      <c r="E198">
        <f>IF(D198="Residential",1,0)</f>
        <v>1</v>
      </c>
      <c r="F198">
        <f t="shared" si="9"/>
        <v>0</v>
      </c>
      <c r="G198">
        <f t="shared" si="10"/>
        <v>0</v>
      </c>
      <c r="H198">
        <f t="shared" si="11"/>
        <v>0</v>
      </c>
      <c r="I198">
        <v>71851.45</v>
      </c>
      <c r="J198">
        <v>4970</v>
      </c>
      <c r="K198">
        <v>9.8000000000000004E-2</v>
      </c>
      <c r="L198">
        <v>11</v>
      </c>
      <c r="M198">
        <v>89.6</v>
      </c>
      <c r="N198">
        <v>0.2</v>
      </c>
      <c r="O198">
        <v>0</v>
      </c>
      <c r="P198">
        <v>4.2</v>
      </c>
      <c r="Q198">
        <v>691447.43</v>
      </c>
      <c r="R198">
        <v>114077.69</v>
      </c>
    </row>
    <row r="199" spans="1:18">
      <c r="A199" s="3" t="s">
        <v>71</v>
      </c>
      <c r="B199" s="2">
        <v>45689</v>
      </c>
      <c r="C199" t="s">
        <v>20</v>
      </c>
      <c r="D199" t="s">
        <v>16</v>
      </c>
      <c r="E199">
        <f>IF(D199="Residential",1,0)</f>
        <v>1</v>
      </c>
      <c r="F199">
        <f t="shared" si="9"/>
        <v>0</v>
      </c>
      <c r="G199">
        <f t="shared" si="10"/>
        <v>0</v>
      </c>
      <c r="H199">
        <f t="shared" si="11"/>
        <v>0</v>
      </c>
      <c r="I199">
        <v>54002.83</v>
      </c>
      <c r="J199">
        <v>4366</v>
      </c>
      <c r="K199">
        <v>2.7E-2</v>
      </c>
      <c r="L199">
        <v>15</v>
      </c>
      <c r="M199">
        <v>90.6</v>
      </c>
      <c r="N199">
        <v>12.82</v>
      </c>
      <c r="O199">
        <v>0</v>
      </c>
      <c r="P199">
        <v>4.5999999999999996</v>
      </c>
      <c r="Q199">
        <v>574066.61</v>
      </c>
      <c r="R199">
        <v>124674.67</v>
      </c>
    </row>
    <row r="200" spans="1:18">
      <c r="A200" s="3" t="s">
        <v>71</v>
      </c>
      <c r="B200" s="2">
        <v>45717</v>
      </c>
      <c r="C200" t="s">
        <v>20</v>
      </c>
      <c r="D200" t="s">
        <v>16</v>
      </c>
      <c r="E200">
        <f>IF(D200="Residential",1,0)</f>
        <v>1</v>
      </c>
      <c r="F200">
        <f t="shared" si="9"/>
        <v>0</v>
      </c>
      <c r="G200">
        <f t="shared" si="10"/>
        <v>0</v>
      </c>
      <c r="H200">
        <f t="shared" si="11"/>
        <v>0</v>
      </c>
      <c r="I200">
        <v>54479.33</v>
      </c>
      <c r="J200">
        <v>5012</v>
      </c>
      <c r="K200">
        <v>0.28399999999999997</v>
      </c>
      <c r="L200">
        <v>13</v>
      </c>
      <c r="M200">
        <v>86</v>
      </c>
      <c r="N200">
        <v>2.2400000000000002</v>
      </c>
      <c r="O200">
        <v>1</v>
      </c>
      <c r="P200">
        <v>4.3</v>
      </c>
      <c r="Q200">
        <v>578949.84</v>
      </c>
      <c r="R200">
        <v>80253.649999999994</v>
      </c>
    </row>
    <row r="201" spans="1:18">
      <c r="A201" s="3" t="s">
        <v>71</v>
      </c>
      <c r="B201" s="2">
        <v>45748</v>
      </c>
      <c r="C201" t="s">
        <v>20</v>
      </c>
      <c r="D201" t="s">
        <v>16</v>
      </c>
      <c r="E201">
        <f>IF(D201="Residential",1,0)</f>
        <v>1</v>
      </c>
      <c r="F201">
        <f t="shared" si="9"/>
        <v>0</v>
      </c>
      <c r="G201">
        <f t="shared" si="10"/>
        <v>0</v>
      </c>
      <c r="H201">
        <f t="shared" si="11"/>
        <v>0</v>
      </c>
      <c r="I201">
        <v>61391.8</v>
      </c>
      <c r="J201">
        <v>5575</v>
      </c>
      <c r="K201">
        <v>0.189</v>
      </c>
      <c r="L201">
        <v>18</v>
      </c>
      <c r="M201">
        <v>90</v>
      </c>
      <c r="N201">
        <v>1.8</v>
      </c>
      <c r="O201">
        <v>0</v>
      </c>
      <c r="P201">
        <v>4.8</v>
      </c>
      <c r="Q201">
        <v>735786.64</v>
      </c>
      <c r="R201">
        <v>126540.66</v>
      </c>
    </row>
    <row r="202" spans="1:18">
      <c r="A202" s="3" t="s">
        <v>72</v>
      </c>
      <c r="B202" s="2">
        <v>45658</v>
      </c>
      <c r="C202" t="s">
        <v>15</v>
      </c>
      <c r="D202" t="s">
        <v>21</v>
      </c>
      <c r="E202">
        <f>IF(D202="Residential",1,0)</f>
        <v>0</v>
      </c>
      <c r="F202">
        <f t="shared" si="9"/>
        <v>0</v>
      </c>
      <c r="G202">
        <f t="shared" si="10"/>
        <v>1</v>
      </c>
      <c r="H202">
        <f t="shared" si="11"/>
        <v>0</v>
      </c>
      <c r="I202">
        <v>22312.93</v>
      </c>
      <c r="J202">
        <v>5955</v>
      </c>
      <c r="K202">
        <v>0.123</v>
      </c>
      <c r="L202">
        <v>13</v>
      </c>
      <c r="M202">
        <v>84.2</v>
      </c>
      <c r="N202">
        <v>0.41</v>
      </c>
      <c r="O202">
        <v>1</v>
      </c>
      <c r="P202">
        <v>4.5999999999999996</v>
      </c>
      <c r="Q202">
        <v>598904.9</v>
      </c>
      <c r="R202">
        <v>72861</v>
      </c>
    </row>
    <row r="203" spans="1:18">
      <c r="A203" s="3" t="s">
        <v>72</v>
      </c>
      <c r="B203" s="2">
        <v>45689</v>
      </c>
      <c r="C203" t="s">
        <v>15</v>
      </c>
      <c r="D203" t="s">
        <v>21</v>
      </c>
      <c r="E203">
        <f>IF(D203="Residential",1,0)</f>
        <v>0</v>
      </c>
      <c r="F203">
        <f t="shared" si="9"/>
        <v>0</v>
      </c>
      <c r="G203">
        <f t="shared" si="10"/>
        <v>1</v>
      </c>
      <c r="H203">
        <f t="shared" si="11"/>
        <v>0</v>
      </c>
      <c r="I203">
        <v>78111.97</v>
      </c>
      <c r="J203">
        <v>6389</v>
      </c>
      <c r="K203">
        <v>0.15</v>
      </c>
      <c r="L203">
        <v>13</v>
      </c>
      <c r="M203">
        <v>83.9</v>
      </c>
      <c r="N203">
        <v>3.05</v>
      </c>
      <c r="O203">
        <v>0</v>
      </c>
      <c r="P203">
        <v>4.8</v>
      </c>
      <c r="Q203">
        <v>787715.51</v>
      </c>
      <c r="R203">
        <v>128969.62</v>
      </c>
    </row>
    <row r="204" spans="1:18">
      <c r="A204" s="3" t="s">
        <v>72</v>
      </c>
      <c r="B204" s="2">
        <v>45717</v>
      </c>
      <c r="C204" t="s">
        <v>15</v>
      </c>
      <c r="D204" t="s">
        <v>21</v>
      </c>
      <c r="E204">
        <f>IF(D204="Residential",1,0)</f>
        <v>0</v>
      </c>
      <c r="F204">
        <f t="shared" si="9"/>
        <v>0</v>
      </c>
      <c r="G204">
        <f t="shared" si="10"/>
        <v>1</v>
      </c>
      <c r="H204">
        <f t="shared" si="11"/>
        <v>0</v>
      </c>
      <c r="I204">
        <v>35203.230000000003</v>
      </c>
      <c r="J204">
        <v>6896</v>
      </c>
      <c r="K204">
        <v>3.2000000000000001E-2</v>
      </c>
      <c r="L204">
        <v>14</v>
      </c>
      <c r="M204">
        <v>80.8</v>
      </c>
      <c r="N204">
        <v>8.44</v>
      </c>
      <c r="O204">
        <v>1</v>
      </c>
      <c r="P204">
        <v>5</v>
      </c>
      <c r="Q204">
        <v>607084.92000000004</v>
      </c>
      <c r="R204">
        <v>98558.49</v>
      </c>
    </row>
    <row r="205" spans="1:18">
      <c r="A205" s="3" t="s">
        <v>72</v>
      </c>
      <c r="B205" s="2">
        <v>45748</v>
      </c>
      <c r="C205" t="s">
        <v>15</v>
      </c>
      <c r="D205" t="s">
        <v>21</v>
      </c>
      <c r="E205">
        <f>IF(D205="Residential",1,0)</f>
        <v>0</v>
      </c>
      <c r="F205">
        <f t="shared" si="9"/>
        <v>0</v>
      </c>
      <c r="G205">
        <f t="shared" si="10"/>
        <v>1</v>
      </c>
      <c r="H205">
        <f t="shared" si="11"/>
        <v>0</v>
      </c>
      <c r="I205">
        <v>64104.28</v>
      </c>
      <c r="J205">
        <v>6015</v>
      </c>
      <c r="K205">
        <v>0.127</v>
      </c>
      <c r="L205">
        <v>15</v>
      </c>
      <c r="M205">
        <v>88.7</v>
      </c>
      <c r="N205">
        <v>0.78</v>
      </c>
      <c r="O205">
        <v>0</v>
      </c>
      <c r="P205">
        <v>4</v>
      </c>
      <c r="Q205">
        <v>650795.49</v>
      </c>
      <c r="R205">
        <v>103035.89</v>
      </c>
    </row>
    <row r="206" spans="1:18">
      <c r="A206" s="3" t="s">
        <v>73</v>
      </c>
      <c r="B206" s="2">
        <v>45658</v>
      </c>
      <c r="C206" t="s">
        <v>15</v>
      </c>
      <c r="D206" t="s">
        <v>28</v>
      </c>
      <c r="E206">
        <f>IF(D206="Residential",1,0)</f>
        <v>0</v>
      </c>
      <c r="F206">
        <f t="shared" si="9"/>
        <v>0</v>
      </c>
      <c r="G206">
        <f t="shared" si="10"/>
        <v>0</v>
      </c>
      <c r="H206">
        <f t="shared" si="11"/>
        <v>1</v>
      </c>
      <c r="I206">
        <v>92090.14</v>
      </c>
      <c r="J206">
        <v>9476</v>
      </c>
      <c r="K206">
        <v>7.0000000000000007E-2</v>
      </c>
      <c r="L206">
        <v>24</v>
      </c>
      <c r="M206">
        <v>94.3</v>
      </c>
      <c r="N206">
        <v>0.87</v>
      </c>
      <c r="O206">
        <v>0</v>
      </c>
      <c r="P206">
        <v>3.7</v>
      </c>
      <c r="Q206">
        <v>825060.52</v>
      </c>
      <c r="R206">
        <v>143613.15</v>
      </c>
    </row>
    <row r="207" spans="1:18">
      <c r="A207" s="3" t="s">
        <v>73</v>
      </c>
      <c r="B207" s="2">
        <v>45689</v>
      </c>
      <c r="C207" t="s">
        <v>15</v>
      </c>
      <c r="D207" t="s">
        <v>28</v>
      </c>
      <c r="E207">
        <f>IF(D207="Residential",1,0)</f>
        <v>0</v>
      </c>
      <c r="F207">
        <f t="shared" si="9"/>
        <v>0</v>
      </c>
      <c r="G207">
        <f t="shared" si="10"/>
        <v>0</v>
      </c>
      <c r="H207">
        <f t="shared" si="11"/>
        <v>1</v>
      </c>
      <c r="I207">
        <v>54300.87</v>
      </c>
      <c r="J207">
        <v>7875</v>
      </c>
      <c r="K207">
        <v>0.107</v>
      </c>
      <c r="L207">
        <v>19</v>
      </c>
      <c r="M207">
        <v>94.1</v>
      </c>
      <c r="N207">
        <v>0.95</v>
      </c>
      <c r="O207">
        <v>0</v>
      </c>
      <c r="P207">
        <v>3.7</v>
      </c>
      <c r="Q207">
        <v>795464.47</v>
      </c>
      <c r="R207">
        <v>161150.51999999999</v>
      </c>
    </row>
    <row r="208" spans="1:18">
      <c r="A208" s="3" t="s">
        <v>73</v>
      </c>
      <c r="B208" s="2">
        <v>45717</v>
      </c>
      <c r="C208" t="s">
        <v>15</v>
      </c>
      <c r="D208" t="s">
        <v>28</v>
      </c>
      <c r="E208">
        <f>IF(D208="Residential",1,0)</f>
        <v>0</v>
      </c>
      <c r="F208">
        <f t="shared" si="9"/>
        <v>0</v>
      </c>
      <c r="G208">
        <f t="shared" si="10"/>
        <v>0</v>
      </c>
      <c r="H208">
        <f t="shared" si="11"/>
        <v>1</v>
      </c>
      <c r="I208">
        <v>37983.35</v>
      </c>
      <c r="J208">
        <v>9283</v>
      </c>
      <c r="K208">
        <v>0.14899999999999999</v>
      </c>
      <c r="L208">
        <v>19</v>
      </c>
      <c r="M208">
        <v>83.2</v>
      </c>
      <c r="N208">
        <v>3.82</v>
      </c>
      <c r="O208">
        <v>0</v>
      </c>
      <c r="P208">
        <v>3.7</v>
      </c>
      <c r="Q208">
        <v>671868.59</v>
      </c>
      <c r="R208">
        <v>71003.28</v>
      </c>
    </row>
    <row r="209" spans="1:18">
      <c r="A209" s="3" t="s">
        <v>73</v>
      </c>
      <c r="B209" s="2">
        <v>45748</v>
      </c>
      <c r="C209" t="s">
        <v>15</v>
      </c>
      <c r="D209" t="s">
        <v>28</v>
      </c>
      <c r="E209">
        <f>IF(D209="Residential",1,0)</f>
        <v>0</v>
      </c>
      <c r="F209">
        <f t="shared" si="9"/>
        <v>0</v>
      </c>
      <c r="G209">
        <f t="shared" si="10"/>
        <v>0</v>
      </c>
      <c r="H209">
        <f t="shared" si="11"/>
        <v>1</v>
      </c>
      <c r="I209">
        <v>56413.83</v>
      </c>
      <c r="J209">
        <v>8303</v>
      </c>
      <c r="K209">
        <v>0.11600000000000001</v>
      </c>
      <c r="L209">
        <v>18</v>
      </c>
      <c r="M209">
        <v>93.6</v>
      </c>
      <c r="N209">
        <v>2.7</v>
      </c>
      <c r="O209">
        <v>0</v>
      </c>
      <c r="P209">
        <v>3.7</v>
      </c>
      <c r="Q209">
        <v>675917.63</v>
      </c>
      <c r="R209">
        <v>112564.75</v>
      </c>
    </row>
    <row r="210" spans="1:18">
      <c r="A210" s="3" t="s">
        <v>74</v>
      </c>
      <c r="B210" s="2">
        <v>45658</v>
      </c>
      <c r="C210" t="s">
        <v>15</v>
      </c>
      <c r="D210" t="s">
        <v>18</v>
      </c>
      <c r="E210">
        <f>IF(D210="Residential",1,0)</f>
        <v>0</v>
      </c>
      <c r="F210">
        <f t="shared" si="9"/>
        <v>1</v>
      </c>
      <c r="G210">
        <f t="shared" si="10"/>
        <v>0</v>
      </c>
      <c r="H210">
        <f t="shared" si="11"/>
        <v>0</v>
      </c>
      <c r="I210">
        <v>63457.19</v>
      </c>
      <c r="J210">
        <v>10125</v>
      </c>
      <c r="K210">
        <v>9.7000000000000003E-2</v>
      </c>
      <c r="L210">
        <v>24</v>
      </c>
      <c r="M210">
        <v>87</v>
      </c>
      <c r="N210">
        <v>3.84</v>
      </c>
      <c r="O210">
        <v>1</v>
      </c>
      <c r="P210">
        <v>3.7</v>
      </c>
      <c r="Q210">
        <v>810446.53</v>
      </c>
      <c r="R210">
        <v>200575.34</v>
      </c>
    </row>
    <row r="211" spans="1:18">
      <c r="A211" s="3" t="s">
        <v>74</v>
      </c>
      <c r="B211" s="2">
        <v>45689</v>
      </c>
      <c r="C211" t="s">
        <v>15</v>
      </c>
      <c r="D211" t="s">
        <v>18</v>
      </c>
      <c r="E211">
        <f>IF(D211="Residential",1,0)</f>
        <v>0</v>
      </c>
      <c r="F211">
        <f t="shared" si="9"/>
        <v>1</v>
      </c>
      <c r="G211">
        <f t="shared" si="10"/>
        <v>0</v>
      </c>
      <c r="H211">
        <f t="shared" si="11"/>
        <v>0</v>
      </c>
      <c r="I211">
        <v>62949.7</v>
      </c>
      <c r="J211">
        <v>9458</v>
      </c>
      <c r="K211">
        <v>0.17100000000000001</v>
      </c>
      <c r="L211">
        <v>19</v>
      </c>
      <c r="M211">
        <v>84.9</v>
      </c>
      <c r="N211">
        <v>5.09</v>
      </c>
      <c r="O211">
        <v>0</v>
      </c>
      <c r="P211">
        <v>3.3</v>
      </c>
      <c r="Q211">
        <v>691288.19</v>
      </c>
      <c r="R211">
        <v>159074.14000000001</v>
      </c>
    </row>
    <row r="212" spans="1:18">
      <c r="A212" s="3" t="s">
        <v>74</v>
      </c>
      <c r="B212" s="2">
        <v>45717</v>
      </c>
      <c r="C212" t="s">
        <v>15</v>
      </c>
      <c r="D212" t="s">
        <v>18</v>
      </c>
      <c r="E212">
        <f>IF(D212="Residential",1,0)</f>
        <v>0</v>
      </c>
      <c r="F212">
        <f t="shared" si="9"/>
        <v>1</v>
      </c>
      <c r="G212">
        <f t="shared" si="10"/>
        <v>0</v>
      </c>
      <c r="H212">
        <f t="shared" si="11"/>
        <v>0</v>
      </c>
      <c r="I212">
        <v>107970.19</v>
      </c>
      <c r="J212">
        <v>12870</v>
      </c>
      <c r="K212">
        <v>2.9000000000000001E-2</v>
      </c>
      <c r="L212">
        <v>31</v>
      </c>
      <c r="M212">
        <v>91.7</v>
      </c>
      <c r="N212">
        <v>3.82</v>
      </c>
      <c r="O212">
        <v>1</v>
      </c>
      <c r="P212">
        <v>3.7</v>
      </c>
      <c r="Q212">
        <v>946833.54</v>
      </c>
      <c r="R212">
        <v>184540.31</v>
      </c>
    </row>
    <row r="213" spans="1:18">
      <c r="A213" s="3" t="s">
        <v>74</v>
      </c>
      <c r="B213" s="2">
        <v>45748</v>
      </c>
      <c r="C213" t="s">
        <v>15</v>
      </c>
      <c r="D213" t="s">
        <v>18</v>
      </c>
      <c r="E213">
        <f>IF(D213="Residential",1,0)</f>
        <v>0</v>
      </c>
      <c r="F213">
        <f t="shared" si="9"/>
        <v>1</v>
      </c>
      <c r="G213">
        <f t="shared" si="10"/>
        <v>0</v>
      </c>
      <c r="H213">
        <f t="shared" si="11"/>
        <v>0</v>
      </c>
      <c r="I213">
        <v>49405.75</v>
      </c>
      <c r="J213">
        <v>9752</v>
      </c>
      <c r="K213">
        <v>9.2999999999999999E-2</v>
      </c>
      <c r="L213">
        <v>21</v>
      </c>
      <c r="M213">
        <v>87</v>
      </c>
      <c r="N213">
        <v>12.28</v>
      </c>
      <c r="O213">
        <v>0</v>
      </c>
      <c r="P213">
        <v>4.0999999999999996</v>
      </c>
      <c r="Q213">
        <v>761963.23</v>
      </c>
      <c r="R213">
        <v>150113.60999999999</v>
      </c>
    </row>
    <row r="214" spans="1:18">
      <c r="A214" s="3" t="s">
        <v>75</v>
      </c>
      <c r="B214" s="2">
        <v>45658</v>
      </c>
      <c r="C214" t="s">
        <v>27</v>
      </c>
      <c r="D214" t="s">
        <v>16</v>
      </c>
      <c r="E214">
        <f>IF(D214="Residential",1,0)</f>
        <v>1</v>
      </c>
      <c r="F214">
        <f t="shared" si="9"/>
        <v>0</v>
      </c>
      <c r="G214">
        <f t="shared" si="10"/>
        <v>0</v>
      </c>
      <c r="H214">
        <f t="shared" si="11"/>
        <v>0</v>
      </c>
      <c r="I214">
        <v>50887.46</v>
      </c>
      <c r="J214">
        <v>9505</v>
      </c>
      <c r="K214">
        <v>9.0999999999999998E-2</v>
      </c>
      <c r="L214">
        <v>25</v>
      </c>
      <c r="M214">
        <v>89.7</v>
      </c>
      <c r="N214">
        <v>2.8</v>
      </c>
      <c r="O214">
        <v>0</v>
      </c>
      <c r="P214">
        <v>4.3</v>
      </c>
      <c r="Q214">
        <v>812152.6</v>
      </c>
      <c r="R214">
        <v>138419.43</v>
      </c>
    </row>
    <row r="215" spans="1:18">
      <c r="A215" s="3" t="s">
        <v>75</v>
      </c>
      <c r="B215" s="2">
        <v>45689</v>
      </c>
      <c r="C215" t="s">
        <v>27</v>
      </c>
      <c r="D215" t="s">
        <v>16</v>
      </c>
      <c r="E215">
        <f>IF(D215="Residential",1,0)</f>
        <v>1</v>
      </c>
      <c r="F215">
        <f t="shared" si="9"/>
        <v>0</v>
      </c>
      <c r="G215">
        <f t="shared" si="10"/>
        <v>0</v>
      </c>
      <c r="H215">
        <f t="shared" si="11"/>
        <v>0</v>
      </c>
      <c r="I215">
        <v>41819.449999999997</v>
      </c>
      <c r="J215">
        <v>9412</v>
      </c>
      <c r="K215">
        <v>0.15</v>
      </c>
      <c r="L215">
        <v>22</v>
      </c>
      <c r="M215">
        <v>91</v>
      </c>
      <c r="N215">
        <v>3.67</v>
      </c>
      <c r="O215">
        <v>0</v>
      </c>
      <c r="P215">
        <v>4.2</v>
      </c>
      <c r="Q215">
        <v>804975.5</v>
      </c>
      <c r="R215">
        <v>140054.5</v>
      </c>
    </row>
    <row r="216" spans="1:18">
      <c r="A216" s="3" t="s">
        <v>75</v>
      </c>
      <c r="B216" s="2">
        <v>45717</v>
      </c>
      <c r="C216" t="s">
        <v>27</v>
      </c>
      <c r="D216" t="s">
        <v>16</v>
      </c>
      <c r="E216">
        <f>IF(D216="Residential",1,0)</f>
        <v>1</v>
      </c>
      <c r="F216">
        <f t="shared" si="9"/>
        <v>0</v>
      </c>
      <c r="G216">
        <f t="shared" si="10"/>
        <v>0</v>
      </c>
      <c r="H216">
        <f t="shared" si="11"/>
        <v>0</v>
      </c>
      <c r="I216">
        <v>35296.54</v>
      </c>
      <c r="J216">
        <v>9644</v>
      </c>
      <c r="K216">
        <v>0</v>
      </c>
      <c r="L216">
        <v>22</v>
      </c>
      <c r="M216">
        <v>88</v>
      </c>
      <c r="N216">
        <v>2.81</v>
      </c>
      <c r="O216">
        <v>0</v>
      </c>
      <c r="P216">
        <v>4.7</v>
      </c>
      <c r="Q216">
        <v>752321.72</v>
      </c>
      <c r="R216">
        <v>137788.51</v>
      </c>
    </row>
    <row r="217" spans="1:18">
      <c r="A217" s="3" t="s">
        <v>75</v>
      </c>
      <c r="B217" s="2">
        <v>45748</v>
      </c>
      <c r="C217" t="s">
        <v>27</v>
      </c>
      <c r="D217" t="s">
        <v>16</v>
      </c>
      <c r="E217">
        <f>IF(D217="Residential",1,0)</f>
        <v>1</v>
      </c>
      <c r="F217">
        <f t="shared" si="9"/>
        <v>0</v>
      </c>
      <c r="G217">
        <f t="shared" si="10"/>
        <v>0</v>
      </c>
      <c r="H217">
        <f t="shared" si="11"/>
        <v>0</v>
      </c>
      <c r="I217">
        <v>47391.09</v>
      </c>
      <c r="J217">
        <v>11224</v>
      </c>
      <c r="K217">
        <v>0.14699999999999999</v>
      </c>
      <c r="L217">
        <v>25</v>
      </c>
      <c r="M217">
        <v>88.4</v>
      </c>
      <c r="N217">
        <v>2.44</v>
      </c>
      <c r="O217">
        <v>0</v>
      </c>
      <c r="P217">
        <v>4.9000000000000004</v>
      </c>
      <c r="Q217">
        <v>836908.24</v>
      </c>
      <c r="R217">
        <v>141090.26</v>
      </c>
    </row>
    <row r="218" spans="1:18">
      <c r="A218" s="3" t="s">
        <v>76</v>
      </c>
      <c r="B218" s="2">
        <v>45658</v>
      </c>
      <c r="C218" t="s">
        <v>20</v>
      </c>
      <c r="D218" t="s">
        <v>21</v>
      </c>
      <c r="E218">
        <f>IF(D218="Residential",1,0)</f>
        <v>0</v>
      </c>
      <c r="F218">
        <f t="shared" si="9"/>
        <v>0</v>
      </c>
      <c r="G218">
        <f t="shared" si="10"/>
        <v>1</v>
      </c>
      <c r="H218">
        <f t="shared" si="11"/>
        <v>0</v>
      </c>
      <c r="I218">
        <v>69180.539999999994</v>
      </c>
      <c r="J218">
        <v>5394</v>
      </c>
      <c r="K218">
        <v>0.126</v>
      </c>
      <c r="L218">
        <v>12</v>
      </c>
      <c r="M218">
        <v>82.9</v>
      </c>
      <c r="N218">
        <v>3.27</v>
      </c>
      <c r="O218">
        <v>0</v>
      </c>
      <c r="P218">
        <v>3.3</v>
      </c>
      <c r="Q218">
        <v>674289.1</v>
      </c>
      <c r="R218">
        <v>117773.79</v>
      </c>
    </row>
    <row r="219" spans="1:18">
      <c r="A219" s="3" t="s">
        <v>76</v>
      </c>
      <c r="B219" s="2">
        <v>45689</v>
      </c>
      <c r="C219" t="s">
        <v>20</v>
      </c>
      <c r="D219" t="s">
        <v>21</v>
      </c>
      <c r="E219">
        <f>IF(D219="Residential",1,0)</f>
        <v>0</v>
      </c>
      <c r="F219">
        <f t="shared" si="9"/>
        <v>0</v>
      </c>
      <c r="G219">
        <f t="shared" si="10"/>
        <v>1</v>
      </c>
      <c r="H219">
        <f t="shared" si="11"/>
        <v>0</v>
      </c>
      <c r="I219">
        <v>33987.33</v>
      </c>
      <c r="J219">
        <v>5014</v>
      </c>
      <c r="K219">
        <v>0.246</v>
      </c>
      <c r="L219">
        <v>17</v>
      </c>
      <c r="M219">
        <v>94.3</v>
      </c>
      <c r="N219">
        <v>10.34</v>
      </c>
      <c r="O219">
        <v>0</v>
      </c>
      <c r="P219">
        <v>3.9</v>
      </c>
      <c r="Q219">
        <v>622892.42000000004</v>
      </c>
      <c r="R219">
        <v>101032.52</v>
      </c>
    </row>
    <row r="220" spans="1:18">
      <c r="A220" s="3" t="s">
        <v>76</v>
      </c>
      <c r="B220" s="2">
        <v>45717</v>
      </c>
      <c r="C220" t="s">
        <v>20</v>
      </c>
      <c r="D220" t="s">
        <v>21</v>
      </c>
      <c r="E220">
        <f>IF(D220="Residential",1,0)</f>
        <v>0</v>
      </c>
      <c r="F220">
        <f t="shared" si="9"/>
        <v>0</v>
      </c>
      <c r="G220">
        <f t="shared" si="10"/>
        <v>1</v>
      </c>
      <c r="H220">
        <f t="shared" si="11"/>
        <v>0</v>
      </c>
      <c r="I220">
        <v>58785.33</v>
      </c>
      <c r="J220">
        <v>4467</v>
      </c>
      <c r="K220">
        <v>0.22900000000000001</v>
      </c>
      <c r="L220">
        <v>14</v>
      </c>
      <c r="M220">
        <v>90.7</v>
      </c>
      <c r="N220">
        <v>1.92</v>
      </c>
      <c r="O220">
        <v>0</v>
      </c>
      <c r="P220">
        <v>3.7</v>
      </c>
      <c r="Q220">
        <v>673348.56</v>
      </c>
      <c r="R220">
        <v>69464.59</v>
      </c>
    </row>
    <row r="221" spans="1:18">
      <c r="A221" s="3" t="s">
        <v>76</v>
      </c>
      <c r="B221" s="2">
        <v>45748</v>
      </c>
      <c r="C221" t="s">
        <v>20</v>
      </c>
      <c r="D221" t="s">
        <v>21</v>
      </c>
      <c r="E221">
        <f>IF(D221="Residential",1,0)</f>
        <v>0</v>
      </c>
      <c r="F221">
        <f t="shared" si="9"/>
        <v>0</v>
      </c>
      <c r="G221">
        <f t="shared" si="10"/>
        <v>1</v>
      </c>
      <c r="H221">
        <f t="shared" si="11"/>
        <v>0</v>
      </c>
      <c r="I221">
        <v>16451.849999999999</v>
      </c>
      <c r="J221">
        <v>4678</v>
      </c>
      <c r="K221">
        <v>0.13300000000000001</v>
      </c>
      <c r="L221">
        <v>11</v>
      </c>
      <c r="M221">
        <v>95.9</v>
      </c>
      <c r="N221">
        <v>3.1</v>
      </c>
      <c r="O221">
        <v>0</v>
      </c>
      <c r="P221">
        <v>3.9</v>
      </c>
      <c r="Q221">
        <v>606278.30000000005</v>
      </c>
      <c r="R221">
        <v>102213.26</v>
      </c>
    </row>
    <row r="222" spans="1:18">
      <c r="A222" s="3" t="s">
        <v>77</v>
      </c>
      <c r="B222" s="2">
        <v>45658</v>
      </c>
      <c r="C222" t="s">
        <v>15</v>
      </c>
      <c r="D222" t="s">
        <v>18</v>
      </c>
      <c r="E222">
        <f>IF(D222="Residential",1,0)</f>
        <v>0</v>
      </c>
      <c r="F222">
        <f t="shared" si="9"/>
        <v>1</v>
      </c>
      <c r="G222">
        <f t="shared" si="10"/>
        <v>0</v>
      </c>
      <c r="H222">
        <f t="shared" si="11"/>
        <v>0</v>
      </c>
      <c r="I222">
        <v>53367.73</v>
      </c>
      <c r="J222">
        <v>7291</v>
      </c>
      <c r="K222">
        <v>0.14599999999999999</v>
      </c>
      <c r="L222">
        <v>18</v>
      </c>
      <c r="M222">
        <v>90.6</v>
      </c>
      <c r="N222">
        <v>6.34</v>
      </c>
      <c r="O222">
        <v>1</v>
      </c>
      <c r="P222">
        <v>3.8</v>
      </c>
      <c r="Q222">
        <v>712219.81</v>
      </c>
      <c r="R222">
        <v>85906.54</v>
      </c>
    </row>
    <row r="223" spans="1:18">
      <c r="A223" s="3" t="s">
        <v>77</v>
      </c>
      <c r="B223" s="2">
        <v>45689</v>
      </c>
      <c r="C223" t="s">
        <v>15</v>
      </c>
      <c r="D223" t="s">
        <v>18</v>
      </c>
      <c r="E223">
        <f>IF(D223="Residential",1,0)</f>
        <v>0</v>
      </c>
      <c r="F223">
        <f t="shared" si="9"/>
        <v>1</v>
      </c>
      <c r="G223">
        <f t="shared" si="10"/>
        <v>0</v>
      </c>
      <c r="H223">
        <f t="shared" si="11"/>
        <v>0</v>
      </c>
      <c r="I223">
        <v>27194.639999999999</v>
      </c>
      <c r="J223">
        <v>7404</v>
      </c>
      <c r="K223">
        <v>8.7999999999999995E-2</v>
      </c>
      <c r="L223">
        <v>18</v>
      </c>
      <c r="M223">
        <v>90.2</v>
      </c>
      <c r="N223">
        <v>1.2</v>
      </c>
      <c r="O223">
        <v>0</v>
      </c>
      <c r="P223">
        <v>3.4</v>
      </c>
      <c r="Q223">
        <v>672670.54</v>
      </c>
      <c r="R223">
        <v>132684.18</v>
      </c>
    </row>
    <row r="224" spans="1:18">
      <c r="A224" s="3" t="s">
        <v>77</v>
      </c>
      <c r="B224" s="2">
        <v>45717</v>
      </c>
      <c r="C224" t="s">
        <v>15</v>
      </c>
      <c r="D224" t="s">
        <v>18</v>
      </c>
      <c r="E224">
        <f>IF(D224="Residential",1,0)</f>
        <v>0</v>
      </c>
      <c r="F224">
        <f t="shared" si="9"/>
        <v>1</v>
      </c>
      <c r="G224">
        <f t="shared" si="10"/>
        <v>0</v>
      </c>
      <c r="H224">
        <f t="shared" si="11"/>
        <v>0</v>
      </c>
      <c r="I224">
        <v>66962.740000000005</v>
      </c>
      <c r="J224">
        <v>7880</v>
      </c>
      <c r="K224">
        <v>0.11600000000000001</v>
      </c>
      <c r="L224">
        <v>19</v>
      </c>
      <c r="M224">
        <v>90.4</v>
      </c>
      <c r="N224">
        <v>4.5</v>
      </c>
      <c r="O224">
        <v>0</v>
      </c>
      <c r="P224">
        <v>3.3</v>
      </c>
      <c r="Q224">
        <v>732667.92</v>
      </c>
      <c r="R224">
        <v>128654.46</v>
      </c>
    </row>
    <row r="225" spans="1:18">
      <c r="A225" s="3" t="s">
        <v>77</v>
      </c>
      <c r="B225" s="2">
        <v>45748</v>
      </c>
      <c r="C225" t="s">
        <v>15</v>
      </c>
      <c r="D225" t="s">
        <v>18</v>
      </c>
      <c r="E225">
        <f>IF(D225="Residential",1,0)</f>
        <v>0</v>
      </c>
      <c r="F225">
        <f t="shared" si="9"/>
        <v>1</v>
      </c>
      <c r="G225">
        <f t="shared" si="10"/>
        <v>0</v>
      </c>
      <c r="H225">
        <f t="shared" si="11"/>
        <v>0</v>
      </c>
      <c r="I225">
        <v>73540.990000000005</v>
      </c>
      <c r="J225">
        <v>8773</v>
      </c>
      <c r="K225">
        <v>3.5000000000000003E-2</v>
      </c>
      <c r="L225">
        <v>21</v>
      </c>
      <c r="M225">
        <v>84.4</v>
      </c>
      <c r="N225">
        <v>6.68</v>
      </c>
      <c r="O225">
        <v>0</v>
      </c>
      <c r="P225">
        <v>3.6</v>
      </c>
      <c r="Q225">
        <v>723531.4</v>
      </c>
      <c r="R225">
        <v>108794.85</v>
      </c>
    </row>
    <row r="226" spans="1:18">
      <c r="A226" s="3" t="s">
        <v>78</v>
      </c>
      <c r="B226" s="2">
        <v>45658</v>
      </c>
      <c r="C226" t="s">
        <v>15</v>
      </c>
      <c r="D226" t="s">
        <v>28</v>
      </c>
      <c r="E226">
        <f>IF(D226="Residential",1,0)</f>
        <v>0</v>
      </c>
      <c r="F226">
        <f t="shared" si="9"/>
        <v>0</v>
      </c>
      <c r="G226">
        <f t="shared" si="10"/>
        <v>0</v>
      </c>
      <c r="H226">
        <f t="shared" si="11"/>
        <v>1</v>
      </c>
      <c r="I226">
        <v>68212.289999999994</v>
      </c>
      <c r="J226">
        <v>4713</v>
      </c>
      <c r="K226">
        <v>0.19800000000000001</v>
      </c>
      <c r="L226">
        <v>15</v>
      </c>
      <c r="M226">
        <v>82.6</v>
      </c>
      <c r="N226">
        <v>4.07</v>
      </c>
      <c r="O226">
        <v>1</v>
      </c>
      <c r="P226">
        <v>3</v>
      </c>
      <c r="Q226">
        <v>641564.6</v>
      </c>
      <c r="R226">
        <v>90468.96</v>
      </c>
    </row>
    <row r="227" spans="1:18">
      <c r="A227" s="3" t="s">
        <v>78</v>
      </c>
      <c r="B227" s="2">
        <v>45689</v>
      </c>
      <c r="C227" t="s">
        <v>15</v>
      </c>
      <c r="D227" t="s">
        <v>28</v>
      </c>
      <c r="E227">
        <f>IF(D227="Residential",1,0)</f>
        <v>0</v>
      </c>
      <c r="F227">
        <f t="shared" si="9"/>
        <v>0</v>
      </c>
      <c r="G227">
        <f t="shared" si="10"/>
        <v>0</v>
      </c>
      <c r="H227">
        <f t="shared" si="11"/>
        <v>1</v>
      </c>
      <c r="I227">
        <v>57225.98</v>
      </c>
      <c r="J227">
        <v>2842</v>
      </c>
      <c r="K227">
        <v>0.112</v>
      </c>
      <c r="L227">
        <v>10</v>
      </c>
      <c r="M227">
        <v>79.5</v>
      </c>
      <c r="N227">
        <v>5.45</v>
      </c>
      <c r="O227">
        <v>0</v>
      </c>
      <c r="P227">
        <v>3.4</v>
      </c>
      <c r="Q227">
        <v>536545.49</v>
      </c>
      <c r="R227">
        <v>97917.45</v>
      </c>
    </row>
    <row r="228" spans="1:18">
      <c r="A228" s="3" t="s">
        <v>78</v>
      </c>
      <c r="B228" s="2">
        <v>45717</v>
      </c>
      <c r="C228" t="s">
        <v>15</v>
      </c>
      <c r="D228" t="s">
        <v>28</v>
      </c>
      <c r="E228">
        <f>IF(D228="Residential",1,0)</f>
        <v>0</v>
      </c>
      <c r="F228">
        <f t="shared" si="9"/>
        <v>0</v>
      </c>
      <c r="G228">
        <f t="shared" si="10"/>
        <v>0</v>
      </c>
      <c r="H228">
        <f t="shared" si="11"/>
        <v>1</v>
      </c>
      <c r="I228">
        <v>42932.02</v>
      </c>
      <c r="J228">
        <v>3872</v>
      </c>
      <c r="K228">
        <v>0.17100000000000001</v>
      </c>
      <c r="L228">
        <v>12</v>
      </c>
      <c r="M228">
        <v>83.2</v>
      </c>
      <c r="N228">
        <v>15.58</v>
      </c>
      <c r="O228">
        <v>0</v>
      </c>
      <c r="P228">
        <v>3.3</v>
      </c>
      <c r="Q228">
        <v>527681.56000000006</v>
      </c>
      <c r="R228">
        <v>63153.05</v>
      </c>
    </row>
    <row r="229" spans="1:18">
      <c r="A229" s="3" t="s">
        <v>78</v>
      </c>
      <c r="B229" s="2">
        <v>45748</v>
      </c>
      <c r="C229" t="s">
        <v>15</v>
      </c>
      <c r="D229" t="s">
        <v>28</v>
      </c>
      <c r="E229">
        <f>IF(D229="Residential",1,0)</f>
        <v>0</v>
      </c>
      <c r="F229">
        <f t="shared" si="9"/>
        <v>0</v>
      </c>
      <c r="G229">
        <f t="shared" si="10"/>
        <v>0</v>
      </c>
      <c r="H229">
        <f t="shared" si="11"/>
        <v>1</v>
      </c>
      <c r="I229">
        <v>39341.449999999997</v>
      </c>
      <c r="J229">
        <v>1375</v>
      </c>
      <c r="K229">
        <v>9.2999999999999999E-2</v>
      </c>
      <c r="L229">
        <v>5</v>
      </c>
      <c r="M229">
        <v>95</v>
      </c>
      <c r="N229">
        <v>5.32</v>
      </c>
      <c r="O229">
        <v>0</v>
      </c>
      <c r="P229">
        <v>0</v>
      </c>
      <c r="Q229">
        <v>529598.93999999994</v>
      </c>
      <c r="R229">
        <v>84334.33</v>
      </c>
    </row>
    <row r="230" spans="1:18">
      <c r="A230" s="3" t="s">
        <v>79</v>
      </c>
      <c r="B230" s="2">
        <v>45658</v>
      </c>
      <c r="C230" t="s">
        <v>15</v>
      </c>
      <c r="D230" t="s">
        <v>18</v>
      </c>
      <c r="E230">
        <f>IF(D230="Residential",1,0)</f>
        <v>0</v>
      </c>
      <c r="F230">
        <f t="shared" si="9"/>
        <v>1</v>
      </c>
      <c r="G230">
        <f t="shared" si="10"/>
        <v>0</v>
      </c>
      <c r="H230">
        <f t="shared" si="11"/>
        <v>0</v>
      </c>
      <c r="I230">
        <v>37324.230000000003</v>
      </c>
      <c r="J230">
        <v>5957</v>
      </c>
      <c r="K230">
        <v>7.0999999999999994E-2</v>
      </c>
      <c r="L230">
        <v>12</v>
      </c>
      <c r="M230">
        <v>85.9</v>
      </c>
      <c r="N230">
        <v>0.37</v>
      </c>
      <c r="O230">
        <v>0</v>
      </c>
      <c r="P230">
        <v>3.8</v>
      </c>
      <c r="Q230">
        <v>570963.31000000006</v>
      </c>
      <c r="R230">
        <v>87342.25</v>
      </c>
    </row>
    <row r="231" spans="1:18">
      <c r="A231" s="3" t="s">
        <v>79</v>
      </c>
      <c r="B231" s="2">
        <v>45689</v>
      </c>
      <c r="C231" t="s">
        <v>15</v>
      </c>
      <c r="D231" t="s">
        <v>18</v>
      </c>
      <c r="E231">
        <f>IF(D231="Residential",1,0)</f>
        <v>0</v>
      </c>
      <c r="F231">
        <f t="shared" si="9"/>
        <v>1</v>
      </c>
      <c r="G231">
        <f t="shared" si="10"/>
        <v>0</v>
      </c>
      <c r="H231">
        <f t="shared" si="11"/>
        <v>0</v>
      </c>
      <c r="I231">
        <v>113736</v>
      </c>
      <c r="J231">
        <v>8961</v>
      </c>
      <c r="K231">
        <v>0.20200000000000001</v>
      </c>
      <c r="L231">
        <v>24</v>
      </c>
      <c r="M231">
        <v>86.2</v>
      </c>
      <c r="N231">
        <v>21.63</v>
      </c>
      <c r="O231">
        <v>0</v>
      </c>
      <c r="P231">
        <v>4</v>
      </c>
      <c r="Q231">
        <v>870937.4</v>
      </c>
      <c r="R231">
        <v>175282.74</v>
      </c>
    </row>
    <row r="232" spans="1:18">
      <c r="A232" s="3" t="s">
        <v>79</v>
      </c>
      <c r="B232" s="2">
        <v>45717</v>
      </c>
      <c r="C232" t="s">
        <v>15</v>
      </c>
      <c r="D232" t="s">
        <v>18</v>
      </c>
      <c r="E232">
        <f>IF(D232="Residential",1,0)</f>
        <v>0</v>
      </c>
      <c r="F232">
        <f t="shared" si="9"/>
        <v>1</v>
      </c>
      <c r="G232">
        <f t="shared" si="10"/>
        <v>0</v>
      </c>
      <c r="H232">
        <f t="shared" si="11"/>
        <v>0</v>
      </c>
      <c r="I232">
        <v>33173.949999999997</v>
      </c>
      <c r="J232">
        <v>6545</v>
      </c>
      <c r="K232">
        <v>0.16900000000000001</v>
      </c>
      <c r="L232">
        <v>15</v>
      </c>
      <c r="M232">
        <v>84.4</v>
      </c>
      <c r="N232">
        <v>2.48</v>
      </c>
      <c r="O232">
        <v>0</v>
      </c>
      <c r="P232">
        <v>3.9</v>
      </c>
      <c r="Q232">
        <v>596969.27</v>
      </c>
      <c r="R232">
        <v>105669.51</v>
      </c>
    </row>
    <row r="233" spans="1:18">
      <c r="A233" s="3" t="s">
        <v>79</v>
      </c>
      <c r="B233" s="2">
        <v>45748</v>
      </c>
      <c r="C233" t="s">
        <v>15</v>
      </c>
      <c r="D233" t="s">
        <v>18</v>
      </c>
      <c r="E233">
        <f>IF(D233="Residential",1,0)</f>
        <v>0</v>
      </c>
      <c r="F233">
        <f t="shared" si="9"/>
        <v>1</v>
      </c>
      <c r="G233">
        <f t="shared" si="10"/>
        <v>0</v>
      </c>
      <c r="H233">
        <f t="shared" si="11"/>
        <v>0</v>
      </c>
      <c r="I233">
        <v>25818.080000000002</v>
      </c>
      <c r="J233">
        <v>5457</v>
      </c>
      <c r="K233">
        <v>0</v>
      </c>
      <c r="L233">
        <v>11</v>
      </c>
      <c r="M233">
        <v>95.4</v>
      </c>
      <c r="O233">
        <v>0</v>
      </c>
      <c r="P233">
        <v>3.7</v>
      </c>
      <c r="Q233">
        <v>647512.85</v>
      </c>
      <c r="R233">
        <v>153835.57</v>
      </c>
    </row>
    <row r="234" spans="1:18">
      <c r="A234" s="3" t="s">
        <v>80</v>
      </c>
      <c r="B234" s="2">
        <v>45658</v>
      </c>
      <c r="C234" t="s">
        <v>27</v>
      </c>
      <c r="D234" t="s">
        <v>16</v>
      </c>
      <c r="E234">
        <f>IF(D234="Residential",1,0)</f>
        <v>1</v>
      </c>
      <c r="F234">
        <f t="shared" si="9"/>
        <v>0</v>
      </c>
      <c r="G234">
        <f t="shared" si="10"/>
        <v>0</v>
      </c>
      <c r="H234">
        <f t="shared" si="11"/>
        <v>0</v>
      </c>
      <c r="I234">
        <v>47241.919999999998</v>
      </c>
      <c r="J234">
        <v>4264</v>
      </c>
      <c r="K234">
        <v>6.9000000000000006E-2</v>
      </c>
      <c r="L234">
        <v>13</v>
      </c>
      <c r="M234">
        <v>95.3</v>
      </c>
      <c r="N234">
        <v>0.85</v>
      </c>
      <c r="O234">
        <v>0</v>
      </c>
      <c r="P234">
        <v>4.3</v>
      </c>
      <c r="Q234">
        <v>658072.14</v>
      </c>
      <c r="R234">
        <v>110595.89</v>
      </c>
    </row>
    <row r="235" spans="1:18">
      <c r="A235" s="3" t="s">
        <v>80</v>
      </c>
      <c r="B235" s="2">
        <v>45689</v>
      </c>
      <c r="C235" t="s">
        <v>27</v>
      </c>
      <c r="D235" t="s">
        <v>16</v>
      </c>
      <c r="E235">
        <f>IF(D235="Residential",1,0)</f>
        <v>1</v>
      </c>
      <c r="F235">
        <f t="shared" si="9"/>
        <v>0</v>
      </c>
      <c r="G235">
        <f t="shared" si="10"/>
        <v>0</v>
      </c>
      <c r="H235">
        <f t="shared" si="11"/>
        <v>0</v>
      </c>
      <c r="I235">
        <v>61650.79</v>
      </c>
      <c r="J235">
        <v>5321</v>
      </c>
      <c r="K235">
        <v>0.126</v>
      </c>
      <c r="L235">
        <v>17</v>
      </c>
      <c r="M235">
        <v>89.2</v>
      </c>
      <c r="N235">
        <v>2.13</v>
      </c>
      <c r="O235">
        <v>0</v>
      </c>
      <c r="P235">
        <v>4</v>
      </c>
      <c r="Q235">
        <v>723305.11</v>
      </c>
      <c r="R235">
        <v>128468.7</v>
      </c>
    </row>
    <row r="236" spans="1:18">
      <c r="A236" s="3" t="s">
        <v>80</v>
      </c>
      <c r="B236" s="2">
        <v>45717</v>
      </c>
      <c r="C236" t="s">
        <v>27</v>
      </c>
      <c r="D236" t="s">
        <v>16</v>
      </c>
      <c r="E236">
        <f>IF(D236="Residential",1,0)</f>
        <v>1</v>
      </c>
      <c r="F236">
        <f t="shared" si="9"/>
        <v>0</v>
      </c>
      <c r="G236">
        <f t="shared" si="10"/>
        <v>0</v>
      </c>
      <c r="H236">
        <f t="shared" si="11"/>
        <v>0</v>
      </c>
      <c r="I236">
        <v>62582.71</v>
      </c>
      <c r="J236">
        <v>5479</v>
      </c>
      <c r="K236">
        <v>4.8000000000000001E-2</v>
      </c>
      <c r="L236">
        <v>16</v>
      </c>
      <c r="M236">
        <v>81.2</v>
      </c>
      <c r="N236">
        <v>1.46</v>
      </c>
      <c r="O236">
        <v>0</v>
      </c>
      <c r="P236">
        <v>4.5</v>
      </c>
      <c r="Q236">
        <v>640666.53</v>
      </c>
      <c r="R236">
        <v>134919.16</v>
      </c>
    </row>
    <row r="237" spans="1:18">
      <c r="A237" s="3" t="s">
        <v>80</v>
      </c>
      <c r="B237" s="2">
        <v>45748</v>
      </c>
      <c r="C237" t="s">
        <v>27</v>
      </c>
      <c r="D237" t="s">
        <v>16</v>
      </c>
      <c r="E237">
        <f>IF(D237="Residential",1,0)</f>
        <v>1</v>
      </c>
      <c r="F237">
        <f t="shared" si="9"/>
        <v>0</v>
      </c>
      <c r="G237">
        <f t="shared" si="10"/>
        <v>0</v>
      </c>
      <c r="H237">
        <f t="shared" si="11"/>
        <v>0</v>
      </c>
      <c r="I237">
        <v>47944.14</v>
      </c>
      <c r="J237">
        <v>6169</v>
      </c>
      <c r="K237">
        <v>0.11899999999999999</v>
      </c>
      <c r="L237">
        <v>17</v>
      </c>
      <c r="M237">
        <v>92.2</v>
      </c>
      <c r="N237">
        <v>3.02</v>
      </c>
      <c r="O237">
        <v>0</v>
      </c>
      <c r="P237">
        <v>4.0999999999999996</v>
      </c>
      <c r="Q237">
        <v>670629.48</v>
      </c>
      <c r="R237">
        <v>100140.8</v>
      </c>
    </row>
    <row r="238" spans="1:18">
      <c r="A238" s="3" t="s">
        <v>81</v>
      </c>
      <c r="B238" s="2">
        <v>45658</v>
      </c>
      <c r="C238" t="s">
        <v>27</v>
      </c>
      <c r="D238" t="s">
        <v>28</v>
      </c>
      <c r="E238">
        <f>IF(D238="Residential",1,0)</f>
        <v>0</v>
      </c>
      <c r="F238">
        <f t="shared" si="9"/>
        <v>0</v>
      </c>
      <c r="G238">
        <f t="shared" si="10"/>
        <v>0</v>
      </c>
      <c r="H238">
        <f t="shared" si="11"/>
        <v>1</v>
      </c>
      <c r="I238">
        <v>46495.4</v>
      </c>
      <c r="J238">
        <v>9908</v>
      </c>
      <c r="K238">
        <v>0.121</v>
      </c>
      <c r="L238">
        <v>22</v>
      </c>
      <c r="M238">
        <v>89.4</v>
      </c>
      <c r="N238">
        <v>3.22</v>
      </c>
      <c r="O238">
        <v>0</v>
      </c>
      <c r="P238">
        <v>3.7</v>
      </c>
      <c r="Q238">
        <v>721079.35</v>
      </c>
      <c r="R238">
        <v>115295.05</v>
      </c>
    </row>
    <row r="239" spans="1:18">
      <c r="A239" s="3" t="s">
        <v>81</v>
      </c>
      <c r="B239" s="2">
        <v>45689</v>
      </c>
      <c r="C239" t="s">
        <v>27</v>
      </c>
      <c r="D239" t="s">
        <v>28</v>
      </c>
      <c r="E239">
        <f>IF(D239="Residential",1,0)</f>
        <v>0</v>
      </c>
      <c r="F239">
        <f t="shared" si="9"/>
        <v>0</v>
      </c>
      <c r="G239">
        <f t="shared" si="10"/>
        <v>0</v>
      </c>
      <c r="H239">
        <f t="shared" si="11"/>
        <v>1</v>
      </c>
      <c r="I239">
        <v>72961.95</v>
      </c>
      <c r="J239">
        <v>9996</v>
      </c>
      <c r="K239">
        <v>0.106</v>
      </c>
      <c r="L239">
        <v>22</v>
      </c>
      <c r="M239">
        <v>89.1</v>
      </c>
      <c r="N239">
        <v>15.66</v>
      </c>
      <c r="O239">
        <v>0</v>
      </c>
      <c r="P239">
        <v>3.4</v>
      </c>
      <c r="Q239">
        <v>810355.02</v>
      </c>
      <c r="R239">
        <v>131510</v>
      </c>
    </row>
    <row r="240" spans="1:18">
      <c r="A240" s="3" t="s">
        <v>81</v>
      </c>
      <c r="B240" s="2">
        <v>45717</v>
      </c>
      <c r="C240" t="s">
        <v>27</v>
      </c>
      <c r="D240" t="s">
        <v>28</v>
      </c>
      <c r="E240">
        <f>IF(D240="Residential",1,0)</f>
        <v>0</v>
      </c>
      <c r="F240">
        <f t="shared" si="9"/>
        <v>0</v>
      </c>
      <c r="G240">
        <f t="shared" si="10"/>
        <v>0</v>
      </c>
      <c r="H240">
        <f t="shared" si="11"/>
        <v>1</v>
      </c>
      <c r="I240">
        <v>59060.05</v>
      </c>
      <c r="J240">
        <v>9702</v>
      </c>
      <c r="K240">
        <v>0.20100000000000001</v>
      </c>
      <c r="L240">
        <v>23</v>
      </c>
      <c r="M240">
        <v>80.900000000000006</v>
      </c>
      <c r="N240">
        <v>6.96</v>
      </c>
      <c r="O240">
        <v>0</v>
      </c>
      <c r="P240">
        <v>3.2</v>
      </c>
      <c r="Q240">
        <v>761919.25</v>
      </c>
      <c r="R240">
        <v>111893.06</v>
      </c>
    </row>
    <row r="241" spans="1:18">
      <c r="A241" s="3" t="s">
        <v>81</v>
      </c>
      <c r="B241" s="2">
        <v>45748</v>
      </c>
      <c r="C241" t="s">
        <v>27</v>
      </c>
      <c r="D241" t="s">
        <v>28</v>
      </c>
      <c r="E241">
        <f>IF(D241="Residential",1,0)</f>
        <v>0</v>
      </c>
      <c r="F241">
        <f t="shared" si="9"/>
        <v>0</v>
      </c>
      <c r="G241">
        <f t="shared" si="10"/>
        <v>0</v>
      </c>
      <c r="H241">
        <f t="shared" si="11"/>
        <v>1</v>
      </c>
      <c r="I241">
        <v>26248.1</v>
      </c>
      <c r="J241">
        <v>9314</v>
      </c>
      <c r="K241">
        <v>0.186</v>
      </c>
      <c r="L241">
        <v>21</v>
      </c>
      <c r="M241">
        <v>83.7</v>
      </c>
      <c r="N241">
        <v>4.62</v>
      </c>
      <c r="O241">
        <v>0</v>
      </c>
      <c r="P241">
        <v>3.3</v>
      </c>
      <c r="Q241">
        <v>737070.18</v>
      </c>
      <c r="R241">
        <v>117593.97</v>
      </c>
    </row>
    <row r="242" spans="1:18">
      <c r="A242" s="3" t="s">
        <v>82</v>
      </c>
      <c r="B242" s="2">
        <v>45658</v>
      </c>
      <c r="C242" t="s">
        <v>24</v>
      </c>
      <c r="D242" t="s">
        <v>21</v>
      </c>
      <c r="E242">
        <f>IF(D242="Residential",1,0)</f>
        <v>0</v>
      </c>
      <c r="F242">
        <f t="shared" si="9"/>
        <v>0</v>
      </c>
      <c r="G242">
        <f t="shared" si="10"/>
        <v>1</v>
      </c>
      <c r="H242">
        <f t="shared" si="11"/>
        <v>0</v>
      </c>
      <c r="I242">
        <v>69900.12</v>
      </c>
      <c r="J242">
        <v>8055</v>
      </c>
      <c r="K242">
        <v>0.28100000000000003</v>
      </c>
      <c r="L242">
        <v>22</v>
      </c>
      <c r="M242">
        <v>85.6</v>
      </c>
      <c r="N242">
        <v>10.68</v>
      </c>
      <c r="O242">
        <v>1</v>
      </c>
      <c r="P242">
        <v>2.9</v>
      </c>
      <c r="Q242">
        <v>776992.93</v>
      </c>
      <c r="R242">
        <v>101598.32</v>
      </c>
    </row>
    <row r="243" spans="1:18">
      <c r="A243" s="3" t="s">
        <v>82</v>
      </c>
      <c r="B243" s="2">
        <v>45689</v>
      </c>
      <c r="C243" t="s">
        <v>24</v>
      </c>
      <c r="D243" t="s">
        <v>21</v>
      </c>
      <c r="E243">
        <f>IF(D243="Residential",1,0)</f>
        <v>0</v>
      </c>
      <c r="F243">
        <f t="shared" si="9"/>
        <v>0</v>
      </c>
      <c r="G243">
        <f t="shared" si="10"/>
        <v>1</v>
      </c>
      <c r="H243">
        <f t="shared" si="11"/>
        <v>0</v>
      </c>
      <c r="I243">
        <v>51781.599999999999</v>
      </c>
      <c r="J243">
        <v>5648</v>
      </c>
      <c r="K243">
        <v>5.8999999999999997E-2</v>
      </c>
      <c r="L243">
        <v>13</v>
      </c>
      <c r="M243">
        <v>85.5</v>
      </c>
      <c r="N243">
        <v>4.04</v>
      </c>
      <c r="O243">
        <v>0</v>
      </c>
      <c r="P243">
        <v>3.7</v>
      </c>
      <c r="Q243">
        <v>676337.41</v>
      </c>
      <c r="R243">
        <v>104355.77</v>
      </c>
    </row>
    <row r="244" spans="1:18">
      <c r="A244" s="3" t="s">
        <v>82</v>
      </c>
      <c r="B244" s="2">
        <v>45717</v>
      </c>
      <c r="C244" t="s">
        <v>24</v>
      </c>
      <c r="D244" t="s">
        <v>21</v>
      </c>
      <c r="E244">
        <f>IF(D244="Residential",1,0)</f>
        <v>0</v>
      </c>
      <c r="F244">
        <f t="shared" si="9"/>
        <v>0</v>
      </c>
      <c r="G244">
        <f t="shared" si="10"/>
        <v>1</v>
      </c>
      <c r="H244">
        <f t="shared" si="11"/>
        <v>0</v>
      </c>
      <c r="I244">
        <v>70799.64</v>
      </c>
      <c r="J244">
        <v>10076</v>
      </c>
      <c r="K244">
        <v>0.152</v>
      </c>
      <c r="L244">
        <v>24</v>
      </c>
      <c r="M244">
        <v>84.8</v>
      </c>
      <c r="N244">
        <v>1.87</v>
      </c>
      <c r="O244">
        <v>0</v>
      </c>
      <c r="P244">
        <v>3.5</v>
      </c>
      <c r="Q244">
        <v>828219.67</v>
      </c>
      <c r="R244">
        <v>179806.87</v>
      </c>
    </row>
    <row r="245" spans="1:18">
      <c r="A245" s="3" t="s">
        <v>82</v>
      </c>
      <c r="B245" s="2">
        <v>45748</v>
      </c>
      <c r="C245" t="s">
        <v>24</v>
      </c>
      <c r="D245" t="s">
        <v>21</v>
      </c>
      <c r="E245">
        <f>IF(D245="Residential",1,0)</f>
        <v>0</v>
      </c>
      <c r="F245">
        <f t="shared" si="9"/>
        <v>0</v>
      </c>
      <c r="G245">
        <f t="shared" si="10"/>
        <v>1</v>
      </c>
      <c r="H245">
        <f t="shared" si="11"/>
        <v>0</v>
      </c>
      <c r="I245">
        <v>53546.34</v>
      </c>
      <c r="J245">
        <v>8004</v>
      </c>
      <c r="K245">
        <v>0</v>
      </c>
      <c r="L245">
        <v>21</v>
      </c>
      <c r="M245">
        <v>95.2</v>
      </c>
      <c r="N245">
        <v>2.83</v>
      </c>
      <c r="O245">
        <v>0</v>
      </c>
      <c r="P245">
        <v>3</v>
      </c>
      <c r="Q245">
        <v>763159.92</v>
      </c>
      <c r="R245">
        <v>177104.87</v>
      </c>
    </row>
    <row r="246" spans="1:18">
      <c r="A246" s="3" t="s">
        <v>83</v>
      </c>
      <c r="B246" s="2">
        <v>45658</v>
      </c>
      <c r="C246" t="s">
        <v>15</v>
      </c>
      <c r="D246" t="s">
        <v>18</v>
      </c>
      <c r="E246">
        <f>IF(D246="Residential",1,0)</f>
        <v>0</v>
      </c>
      <c r="F246">
        <f t="shared" si="9"/>
        <v>1</v>
      </c>
      <c r="G246">
        <f t="shared" si="10"/>
        <v>0</v>
      </c>
      <c r="H246">
        <f t="shared" si="11"/>
        <v>0</v>
      </c>
      <c r="I246">
        <v>76942.2</v>
      </c>
      <c r="J246">
        <v>8934</v>
      </c>
      <c r="K246">
        <v>8.4000000000000005E-2</v>
      </c>
      <c r="L246">
        <v>20</v>
      </c>
      <c r="M246">
        <v>91</v>
      </c>
      <c r="N246">
        <v>0.95</v>
      </c>
      <c r="O246">
        <v>0</v>
      </c>
      <c r="P246">
        <v>3.2</v>
      </c>
      <c r="Q246">
        <v>802001.68</v>
      </c>
      <c r="R246">
        <v>159715.82</v>
      </c>
    </row>
    <row r="247" spans="1:18">
      <c r="A247" s="3" t="s">
        <v>83</v>
      </c>
      <c r="B247" s="2">
        <v>45689</v>
      </c>
      <c r="C247" t="s">
        <v>15</v>
      </c>
      <c r="D247" t="s">
        <v>18</v>
      </c>
      <c r="E247">
        <f>IF(D247="Residential",1,0)</f>
        <v>0</v>
      </c>
      <c r="F247">
        <f t="shared" si="9"/>
        <v>1</v>
      </c>
      <c r="G247">
        <f t="shared" si="10"/>
        <v>0</v>
      </c>
      <c r="H247">
        <f t="shared" si="11"/>
        <v>0</v>
      </c>
      <c r="I247">
        <v>48060.78</v>
      </c>
      <c r="J247">
        <v>8733</v>
      </c>
      <c r="K247">
        <v>0</v>
      </c>
      <c r="L247">
        <v>20</v>
      </c>
      <c r="M247">
        <v>89.9</v>
      </c>
      <c r="N247">
        <v>0.8</v>
      </c>
      <c r="O247">
        <v>0</v>
      </c>
      <c r="P247">
        <v>3.4</v>
      </c>
      <c r="Q247">
        <v>750471.34</v>
      </c>
      <c r="R247">
        <v>133788.04</v>
      </c>
    </row>
    <row r="248" spans="1:18">
      <c r="A248" s="3" t="s">
        <v>83</v>
      </c>
      <c r="B248" s="2">
        <v>45717</v>
      </c>
      <c r="C248" t="s">
        <v>15</v>
      </c>
      <c r="D248" t="s">
        <v>18</v>
      </c>
      <c r="E248">
        <f>IF(D248="Residential",1,0)</f>
        <v>0</v>
      </c>
      <c r="F248">
        <f t="shared" si="9"/>
        <v>1</v>
      </c>
      <c r="G248">
        <f t="shared" si="10"/>
        <v>0</v>
      </c>
      <c r="H248">
        <f t="shared" si="11"/>
        <v>0</v>
      </c>
      <c r="I248">
        <v>57390.04</v>
      </c>
      <c r="J248">
        <v>7374</v>
      </c>
      <c r="K248">
        <v>0.21</v>
      </c>
      <c r="L248">
        <v>21</v>
      </c>
      <c r="M248">
        <v>91.8</v>
      </c>
      <c r="N248">
        <v>0.2</v>
      </c>
      <c r="O248">
        <v>0</v>
      </c>
      <c r="P248">
        <v>3.1</v>
      </c>
      <c r="Q248">
        <v>679230.86</v>
      </c>
      <c r="R248">
        <v>106927.58</v>
      </c>
    </row>
    <row r="249" spans="1:18">
      <c r="A249" s="3" t="s">
        <v>83</v>
      </c>
      <c r="B249" s="2">
        <v>45748</v>
      </c>
      <c r="C249" t="s">
        <v>15</v>
      </c>
      <c r="D249" t="s">
        <v>18</v>
      </c>
      <c r="E249">
        <f>IF(D249="Residential",1,0)</f>
        <v>0</v>
      </c>
      <c r="F249">
        <f t="shared" si="9"/>
        <v>1</v>
      </c>
      <c r="G249">
        <f t="shared" si="10"/>
        <v>0</v>
      </c>
      <c r="H249">
        <f t="shared" si="11"/>
        <v>0</v>
      </c>
      <c r="I249">
        <v>21536.18</v>
      </c>
      <c r="J249">
        <v>8119</v>
      </c>
      <c r="K249">
        <v>0.22700000000000001</v>
      </c>
      <c r="L249">
        <v>20</v>
      </c>
      <c r="M249">
        <v>90.4</v>
      </c>
      <c r="N249">
        <v>1.7</v>
      </c>
      <c r="O249">
        <v>0</v>
      </c>
      <c r="P249">
        <v>3.3</v>
      </c>
      <c r="Q249">
        <v>679888.74</v>
      </c>
      <c r="R249">
        <v>83406.89</v>
      </c>
    </row>
    <row r="250" spans="1:18">
      <c r="A250" s="3" t="s">
        <v>84</v>
      </c>
      <c r="B250" s="2">
        <v>45658</v>
      </c>
      <c r="C250" t="s">
        <v>20</v>
      </c>
      <c r="D250" t="s">
        <v>18</v>
      </c>
      <c r="E250">
        <f>IF(D250="Residential",1,0)</f>
        <v>0</v>
      </c>
      <c r="F250">
        <f t="shared" si="9"/>
        <v>1</v>
      </c>
      <c r="G250">
        <f t="shared" si="10"/>
        <v>0</v>
      </c>
      <c r="H250">
        <f t="shared" si="11"/>
        <v>0</v>
      </c>
      <c r="I250">
        <v>40923.67</v>
      </c>
      <c r="J250">
        <v>3875</v>
      </c>
      <c r="K250">
        <v>0.15</v>
      </c>
      <c r="L250">
        <v>10</v>
      </c>
      <c r="M250">
        <v>96.1</v>
      </c>
      <c r="O250">
        <v>0</v>
      </c>
      <c r="P250">
        <v>3.8</v>
      </c>
      <c r="Q250">
        <v>606783.67000000004</v>
      </c>
      <c r="R250">
        <v>74515.87</v>
      </c>
    </row>
    <row r="251" spans="1:18">
      <c r="A251" s="3" t="s">
        <v>84</v>
      </c>
      <c r="B251" s="2">
        <v>45689</v>
      </c>
      <c r="C251" t="s">
        <v>20</v>
      </c>
      <c r="D251" t="s">
        <v>18</v>
      </c>
      <c r="E251">
        <f>IF(D251="Residential",1,0)</f>
        <v>0</v>
      </c>
      <c r="F251">
        <f t="shared" si="9"/>
        <v>1</v>
      </c>
      <c r="G251">
        <f t="shared" si="10"/>
        <v>0</v>
      </c>
      <c r="H251">
        <f t="shared" si="11"/>
        <v>0</v>
      </c>
      <c r="I251">
        <v>72932.55</v>
      </c>
      <c r="J251">
        <v>5765</v>
      </c>
      <c r="K251">
        <v>2.5999999999999999E-2</v>
      </c>
      <c r="L251">
        <v>17</v>
      </c>
      <c r="M251">
        <v>81.8</v>
      </c>
      <c r="N251">
        <v>5.0999999999999996</v>
      </c>
      <c r="O251">
        <v>0</v>
      </c>
      <c r="P251">
        <v>3.6</v>
      </c>
      <c r="Q251">
        <v>642751.42000000004</v>
      </c>
      <c r="R251">
        <v>131942.15</v>
      </c>
    </row>
    <row r="252" spans="1:18">
      <c r="A252" s="3" t="s">
        <v>84</v>
      </c>
      <c r="B252" s="2">
        <v>45717</v>
      </c>
      <c r="C252" t="s">
        <v>20</v>
      </c>
      <c r="D252" t="s">
        <v>18</v>
      </c>
      <c r="E252">
        <f>IF(D252="Residential",1,0)</f>
        <v>0</v>
      </c>
      <c r="F252">
        <f t="shared" si="9"/>
        <v>1</v>
      </c>
      <c r="G252">
        <f t="shared" si="10"/>
        <v>0</v>
      </c>
      <c r="H252">
        <f t="shared" si="11"/>
        <v>0</v>
      </c>
      <c r="I252">
        <v>38361.93</v>
      </c>
      <c r="J252">
        <v>6322</v>
      </c>
      <c r="K252">
        <v>0.27300000000000002</v>
      </c>
      <c r="L252">
        <v>15</v>
      </c>
      <c r="M252">
        <v>88.4</v>
      </c>
      <c r="N252">
        <v>0.83</v>
      </c>
      <c r="O252">
        <v>0</v>
      </c>
      <c r="P252">
        <v>4</v>
      </c>
      <c r="Q252">
        <v>647953.78</v>
      </c>
      <c r="R252">
        <v>118497.43</v>
      </c>
    </row>
    <row r="253" spans="1:18">
      <c r="A253" s="3" t="s">
        <v>84</v>
      </c>
      <c r="B253" s="2">
        <v>45748</v>
      </c>
      <c r="C253" t="s">
        <v>20</v>
      </c>
      <c r="D253" t="s">
        <v>18</v>
      </c>
      <c r="E253">
        <f>IF(D253="Residential",1,0)</f>
        <v>0</v>
      </c>
      <c r="F253">
        <f t="shared" si="9"/>
        <v>1</v>
      </c>
      <c r="G253">
        <f t="shared" si="10"/>
        <v>0</v>
      </c>
      <c r="H253">
        <f t="shared" si="11"/>
        <v>0</v>
      </c>
      <c r="I253">
        <v>97480.94</v>
      </c>
      <c r="J253">
        <v>6840</v>
      </c>
      <c r="K253">
        <v>8.6999999999999994E-2</v>
      </c>
      <c r="L253">
        <v>14</v>
      </c>
      <c r="M253">
        <v>79.2</v>
      </c>
      <c r="N253">
        <v>1.1399999999999999</v>
      </c>
      <c r="O253">
        <v>0</v>
      </c>
      <c r="P253">
        <v>4</v>
      </c>
      <c r="Q253">
        <v>729440.45</v>
      </c>
      <c r="R253">
        <v>87614.29</v>
      </c>
    </row>
    <row r="254" spans="1:18">
      <c r="A254" s="3" t="s">
        <v>85</v>
      </c>
      <c r="B254" s="2">
        <v>45658</v>
      </c>
      <c r="C254" t="s">
        <v>24</v>
      </c>
      <c r="D254" t="s">
        <v>21</v>
      </c>
      <c r="E254">
        <f>IF(D254="Residential",1,0)</f>
        <v>0</v>
      </c>
      <c r="F254">
        <f t="shared" si="9"/>
        <v>0</v>
      </c>
      <c r="G254">
        <f t="shared" si="10"/>
        <v>1</v>
      </c>
      <c r="H254">
        <f t="shared" si="11"/>
        <v>0</v>
      </c>
      <c r="I254">
        <v>81801.8</v>
      </c>
      <c r="J254">
        <v>6782</v>
      </c>
      <c r="K254">
        <v>0.05</v>
      </c>
      <c r="L254">
        <v>16</v>
      </c>
      <c r="M254">
        <v>99</v>
      </c>
      <c r="N254">
        <v>9.5399999999999991</v>
      </c>
      <c r="O254">
        <v>0</v>
      </c>
      <c r="P254">
        <v>3.7</v>
      </c>
      <c r="Q254">
        <v>764949</v>
      </c>
      <c r="R254">
        <v>148322.43</v>
      </c>
    </row>
    <row r="255" spans="1:18">
      <c r="A255" s="3" t="s">
        <v>85</v>
      </c>
      <c r="B255" s="2">
        <v>45689</v>
      </c>
      <c r="C255" t="s">
        <v>24</v>
      </c>
      <c r="D255" t="s">
        <v>21</v>
      </c>
      <c r="E255">
        <f>IF(D255="Residential",1,0)</f>
        <v>0</v>
      </c>
      <c r="F255">
        <f t="shared" si="9"/>
        <v>0</v>
      </c>
      <c r="G255">
        <f t="shared" si="10"/>
        <v>1</v>
      </c>
      <c r="H255">
        <f t="shared" si="11"/>
        <v>0</v>
      </c>
      <c r="I255">
        <v>63582.11</v>
      </c>
      <c r="J255">
        <v>6856</v>
      </c>
      <c r="K255">
        <v>7.3999999999999996E-2</v>
      </c>
      <c r="L255">
        <v>17</v>
      </c>
      <c r="M255">
        <v>89.5</v>
      </c>
      <c r="N255">
        <v>5.48</v>
      </c>
      <c r="O255">
        <v>0</v>
      </c>
      <c r="P255">
        <v>3.2</v>
      </c>
      <c r="Q255">
        <v>799046.94</v>
      </c>
      <c r="R255">
        <v>144553.64000000001</v>
      </c>
    </row>
    <row r="256" spans="1:18">
      <c r="A256" s="3" t="s">
        <v>85</v>
      </c>
      <c r="B256" s="2">
        <v>45717</v>
      </c>
      <c r="C256" t="s">
        <v>24</v>
      </c>
      <c r="D256" t="s">
        <v>21</v>
      </c>
      <c r="E256">
        <f>IF(D256="Residential",1,0)</f>
        <v>0</v>
      </c>
      <c r="F256">
        <f t="shared" si="9"/>
        <v>0</v>
      </c>
      <c r="G256">
        <f t="shared" si="10"/>
        <v>1</v>
      </c>
      <c r="H256">
        <f t="shared" si="11"/>
        <v>0</v>
      </c>
      <c r="I256">
        <v>75412.740000000005</v>
      </c>
      <c r="J256">
        <v>5641</v>
      </c>
      <c r="K256">
        <v>5.8999999999999997E-2</v>
      </c>
      <c r="L256">
        <v>13</v>
      </c>
      <c r="M256">
        <v>87.9</v>
      </c>
      <c r="N256">
        <v>0.84</v>
      </c>
      <c r="O256">
        <v>0</v>
      </c>
      <c r="P256">
        <v>3.6</v>
      </c>
      <c r="Q256">
        <v>720079.54</v>
      </c>
      <c r="R256">
        <v>119499.47</v>
      </c>
    </row>
    <row r="257" spans="1:18">
      <c r="A257" s="3" t="s">
        <v>85</v>
      </c>
      <c r="B257" s="2">
        <v>45748</v>
      </c>
      <c r="C257" t="s">
        <v>24</v>
      </c>
      <c r="D257" t="s">
        <v>21</v>
      </c>
      <c r="E257">
        <f>IF(D257="Residential",1,0)</f>
        <v>0</v>
      </c>
      <c r="F257">
        <f t="shared" si="9"/>
        <v>0</v>
      </c>
      <c r="G257">
        <f t="shared" si="10"/>
        <v>1</v>
      </c>
      <c r="H257">
        <f t="shared" si="11"/>
        <v>0</v>
      </c>
      <c r="I257">
        <v>36290.080000000002</v>
      </c>
      <c r="J257">
        <v>5787</v>
      </c>
      <c r="K257">
        <v>0</v>
      </c>
      <c r="L257">
        <v>17</v>
      </c>
      <c r="M257">
        <v>88.3</v>
      </c>
      <c r="N257">
        <v>4.1900000000000004</v>
      </c>
      <c r="O257">
        <v>0</v>
      </c>
      <c r="P257">
        <v>4.0999999999999996</v>
      </c>
      <c r="Q257">
        <v>612390.14</v>
      </c>
      <c r="R257">
        <v>108985.74</v>
      </c>
    </row>
    <row r="258" spans="1:18">
      <c r="A258" s="3" t="s">
        <v>86</v>
      </c>
      <c r="B258" s="2">
        <v>45658</v>
      </c>
      <c r="C258" t="s">
        <v>24</v>
      </c>
      <c r="D258" t="s">
        <v>28</v>
      </c>
      <c r="E258">
        <f>IF(D258="Residential",1,0)</f>
        <v>0</v>
      </c>
      <c r="F258">
        <f t="shared" si="9"/>
        <v>0</v>
      </c>
      <c r="G258">
        <f t="shared" si="10"/>
        <v>0</v>
      </c>
      <c r="H258">
        <f t="shared" si="11"/>
        <v>1</v>
      </c>
      <c r="I258">
        <v>65272.58</v>
      </c>
      <c r="J258">
        <v>8165</v>
      </c>
      <c r="K258">
        <v>5.0999999999999997E-2</v>
      </c>
      <c r="L258">
        <v>19</v>
      </c>
      <c r="M258">
        <v>87.8</v>
      </c>
      <c r="N258">
        <v>1.26</v>
      </c>
      <c r="O258">
        <v>1</v>
      </c>
      <c r="P258">
        <v>4.3</v>
      </c>
      <c r="Q258">
        <v>840108.12</v>
      </c>
      <c r="R258">
        <v>126587.01</v>
      </c>
    </row>
    <row r="259" spans="1:18">
      <c r="A259" s="3" t="s">
        <v>86</v>
      </c>
      <c r="B259" s="2">
        <v>45689</v>
      </c>
      <c r="C259" t="s">
        <v>24</v>
      </c>
      <c r="D259" t="s">
        <v>28</v>
      </c>
      <c r="E259">
        <f>IF(D259="Residential",1,0)</f>
        <v>0</v>
      </c>
      <c r="F259">
        <f t="shared" ref="F259:T321" si="12">IF($D259="High street",1,0)</f>
        <v>0</v>
      </c>
      <c r="G259">
        <f t="shared" ref="G259:U321" si="13">IF($D259="Airport",1,0)</f>
        <v>0</v>
      </c>
      <c r="H259">
        <f t="shared" ref="H259:V321" si="14">IF($D259="Mall",1,0)</f>
        <v>1</v>
      </c>
      <c r="I259">
        <v>28670.43</v>
      </c>
      <c r="J259">
        <v>7574</v>
      </c>
      <c r="K259">
        <v>0.114</v>
      </c>
      <c r="L259">
        <v>19</v>
      </c>
      <c r="M259">
        <v>82.7</v>
      </c>
      <c r="N259">
        <v>2.74</v>
      </c>
      <c r="O259">
        <v>0</v>
      </c>
      <c r="P259">
        <v>4.5999999999999996</v>
      </c>
      <c r="Q259">
        <v>697888.09</v>
      </c>
      <c r="R259">
        <v>116249.87</v>
      </c>
    </row>
    <row r="260" spans="1:18">
      <c r="A260" s="3" t="s">
        <v>86</v>
      </c>
      <c r="B260" s="2">
        <v>45717</v>
      </c>
      <c r="C260" t="s">
        <v>24</v>
      </c>
      <c r="D260" t="s">
        <v>28</v>
      </c>
      <c r="E260">
        <f>IF(D260="Residential",1,0)</f>
        <v>0</v>
      </c>
      <c r="F260">
        <f t="shared" si="12"/>
        <v>0</v>
      </c>
      <c r="G260">
        <f t="shared" si="13"/>
        <v>0</v>
      </c>
      <c r="H260">
        <f t="shared" si="14"/>
        <v>1</v>
      </c>
      <c r="I260">
        <v>44189.34</v>
      </c>
      <c r="J260">
        <v>8634</v>
      </c>
      <c r="K260">
        <v>0.14299999999999999</v>
      </c>
      <c r="L260">
        <v>19</v>
      </c>
      <c r="M260">
        <v>87.5</v>
      </c>
      <c r="N260">
        <v>3.69</v>
      </c>
      <c r="O260">
        <v>0</v>
      </c>
      <c r="P260">
        <v>4.4000000000000004</v>
      </c>
      <c r="Q260">
        <v>746115.59</v>
      </c>
      <c r="R260">
        <v>94662.96</v>
      </c>
    </row>
    <row r="261" spans="1:18">
      <c r="A261" s="3" t="s">
        <v>86</v>
      </c>
      <c r="B261" s="2">
        <v>45748</v>
      </c>
      <c r="C261" t="s">
        <v>24</v>
      </c>
      <c r="D261" t="s">
        <v>28</v>
      </c>
      <c r="E261">
        <f>IF(D261="Residential",1,0)</f>
        <v>0</v>
      </c>
      <c r="F261">
        <f t="shared" si="12"/>
        <v>0</v>
      </c>
      <c r="G261">
        <f t="shared" si="13"/>
        <v>0</v>
      </c>
      <c r="H261">
        <f t="shared" si="14"/>
        <v>1</v>
      </c>
      <c r="I261">
        <v>38397.82</v>
      </c>
      <c r="J261">
        <v>7836</v>
      </c>
      <c r="K261">
        <v>7.0000000000000001E-3</v>
      </c>
      <c r="L261">
        <v>21</v>
      </c>
      <c r="M261">
        <v>92.2</v>
      </c>
      <c r="N261">
        <v>1.82</v>
      </c>
      <c r="O261">
        <v>0</v>
      </c>
      <c r="P261">
        <v>3.6</v>
      </c>
      <c r="Q261">
        <v>776110.32</v>
      </c>
      <c r="R261">
        <v>139676.21</v>
      </c>
    </row>
    <row r="262" spans="1:18">
      <c r="A262" s="3" t="s">
        <v>87</v>
      </c>
      <c r="B262" s="2">
        <v>45658</v>
      </c>
      <c r="C262" t="s">
        <v>27</v>
      </c>
      <c r="D262" t="s">
        <v>18</v>
      </c>
      <c r="E262">
        <f>IF(D262="Residential",1,0)</f>
        <v>0</v>
      </c>
      <c r="F262">
        <f t="shared" si="12"/>
        <v>1</v>
      </c>
      <c r="G262">
        <f t="shared" si="13"/>
        <v>0</v>
      </c>
      <c r="H262">
        <f t="shared" si="14"/>
        <v>0</v>
      </c>
      <c r="I262">
        <v>14519.37</v>
      </c>
      <c r="J262">
        <v>3047</v>
      </c>
      <c r="K262">
        <v>0.13500000000000001</v>
      </c>
      <c r="L262">
        <v>10</v>
      </c>
      <c r="M262">
        <v>90.3</v>
      </c>
      <c r="N262">
        <v>6.62</v>
      </c>
      <c r="O262">
        <v>0</v>
      </c>
      <c r="P262">
        <v>4.2</v>
      </c>
      <c r="Q262">
        <v>528852.62</v>
      </c>
      <c r="R262">
        <v>68426.210000000006</v>
      </c>
    </row>
    <row r="263" spans="1:18">
      <c r="A263" s="3" t="s">
        <v>87</v>
      </c>
      <c r="B263" s="2">
        <v>45689</v>
      </c>
      <c r="C263" t="s">
        <v>27</v>
      </c>
      <c r="D263" t="s">
        <v>18</v>
      </c>
      <c r="E263">
        <f>IF(D263="Residential",1,0)</f>
        <v>0</v>
      </c>
      <c r="F263">
        <f t="shared" si="12"/>
        <v>1</v>
      </c>
      <c r="G263">
        <f t="shared" si="13"/>
        <v>0</v>
      </c>
      <c r="H263">
        <f t="shared" si="14"/>
        <v>0</v>
      </c>
      <c r="I263">
        <v>43288.2</v>
      </c>
      <c r="J263">
        <v>4783</v>
      </c>
      <c r="K263">
        <v>0.16900000000000001</v>
      </c>
      <c r="L263">
        <v>13</v>
      </c>
      <c r="M263">
        <v>87.3</v>
      </c>
      <c r="O263">
        <v>0</v>
      </c>
      <c r="P263">
        <v>4.2</v>
      </c>
      <c r="Q263">
        <v>605751.32999999996</v>
      </c>
      <c r="R263">
        <v>60685.53</v>
      </c>
    </row>
    <row r="264" spans="1:18">
      <c r="A264" s="3" t="s">
        <v>87</v>
      </c>
      <c r="B264" s="2">
        <v>45717</v>
      </c>
      <c r="C264" t="s">
        <v>27</v>
      </c>
      <c r="D264" t="s">
        <v>18</v>
      </c>
      <c r="E264">
        <f>IF(D264="Residential",1,0)</f>
        <v>0</v>
      </c>
      <c r="F264">
        <f t="shared" si="12"/>
        <v>1</v>
      </c>
      <c r="G264">
        <f t="shared" si="13"/>
        <v>0</v>
      </c>
      <c r="H264">
        <f t="shared" si="14"/>
        <v>0</v>
      </c>
      <c r="I264">
        <v>51450.55</v>
      </c>
      <c r="J264">
        <v>4902</v>
      </c>
      <c r="K264">
        <v>8.5999999999999993E-2</v>
      </c>
      <c r="L264">
        <v>11</v>
      </c>
      <c r="M264">
        <v>83.7</v>
      </c>
      <c r="N264">
        <v>6.92</v>
      </c>
      <c r="O264">
        <v>1</v>
      </c>
      <c r="P264">
        <v>4.2</v>
      </c>
      <c r="Q264">
        <v>677640.65</v>
      </c>
      <c r="R264">
        <v>111610.89</v>
      </c>
    </row>
    <row r="265" spans="1:18">
      <c r="A265" s="3" t="s">
        <v>87</v>
      </c>
      <c r="B265" s="2">
        <v>45748</v>
      </c>
      <c r="C265" t="s">
        <v>27</v>
      </c>
      <c r="D265" t="s">
        <v>18</v>
      </c>
      <c r="E265">
        <f>IF(D265="Residential",1,0)</f>
        <v>0</v>
      </c>
      <c r="F265">
        <f t="shared" si="12"/>
        <v>1</v>
      </c>
      <c r="G265">
        <f t="shared" si="13"/>
        <v>0</v>
      </c>
      <c r="H265">
        <f t="shared" si="14"/>
        <v>0</v>
      </c>
      <c r="I265">
        <v>58688.26</v>
      </c>
      <c r="J265">
        <v>4022</v>
      </c>
      <c r="K265">
        <v>0.217</v>
      </c>
      <c r="L265">
        <v>12</v>
      </c>
      <c r="M265">
        <v>93.8</v>
      </c>
      <c r="N265">
        <v>11.78</v>
      </c>
      <c r="O265">
        <v>0</v>
      </c>
      <c r="P265">
        <v>3.7</v>
      </c>
      <c r="Q265">
        <v>636613.23</v>
      </c>
      <c r="R265">
        <v>78908.350000000006</v>
      </c>
    </row>
    <row r="266" spans="1:18">
      <c r="A266" s="3" t="s">
        <v>88</v>
      </c>
      <c r="B266" s="2">
        <v>45658</v>
      </c>
      <c r="C266" t="s">
        <v>15</v>
      </c>
      <c r="D266" t="s">
        <v>18</v>
      </c>
      <c r="E266">
        <f>IF(D266="Residential",1,0)</f>
        <v>0</v>
      </c>
      <c r="F266">
        <f t="shared" si="12"/>
        <v>1</v>
      </c>
      <c r="G266">
        <f t="shared" si="13"/>
        <v>0</v>
      </c>
      <c r="H266">
        <f t="shared" si="14"/>
        <v>0</v>
      </c>
      <c r="I266">
        <v>58981.91</v>
      </c>
      <c r="J266">
        <v>7324</v>
      </c>
      <c r="K266">
        <v>9.4E-2</v>
      </c>
      <c r="L266">
        <v>15</v>
      </c>
      <c r="M266">
        <v>95.8</v>
      </c>
      <c r="N266">
        <v>0.5</v>
      </c>
      <c r="O266">
        <v>0</v>
      </c>
      <c r="P266">
        <v>3.5</v>
      </c>
      <c r="Q266">
        <v>708985.19</v>
      </c>
      <c r="R266">
        <v>125368.16</v>
      </c>
    </row>
    <row r="267" spans="1:18">
      <c r="A267" s="3" t="s">
        <v>88</v>
      </c>
      <c r="B267" s="2">
        <v>45689</v>
      </c>
      <c r="C267" t="s">
        <v>15</v>
      </c>
      <c r="D267" t="s">
        <v>18</v>
      </c>
      <c r="E267">
        <f>IF(D267="Residential",1,0)</f>
        <v>0</v>
      </c>
      <c r="F267">
        <f t="shared" si="12"/>
        <v>1</v>
      </c>
      <c r="G267">
        <f t="shared" si="13"/>
        <v>0</v>
      </c>
      <c r="H267">
        <f t="shared" si="14"/>
        <v>0</v>
      </c>
      <c r="I267">
        <v>73454.539999999994</v>
      </c>
      <c r="J267">
        <v>8129</v>
      </c>
      <c r="K267">
        <v>0.21099999999999999</v>
      </c>
      <c r="L267">
        <v>20</v>
      </c>
      <c r="M267">
        <v>85.2</v>
      </c>
      <c r="N267">
        <v>0.88</v>
      </c>
      <c r="O267">
        <v>0</v>
      </c>
      <c r="P267">
        <v>3.7</v>
      </c>
      <c r="Q267">
        <v>767792.94</v>
      </c>
      <c r="R267">
        <v>96235.77</v>
      </c>
    </row>
    <row r="268" spans="1:18">
      <c r="A268" s="3" t="s">
        <v>88</v>
      </c>
      <c r="B268" s="2">
        <v>45717</v>
      </c>
      <c r="C268" t="s">
        <v>15</v>
      </c>
      <c r="D268" t="s">
        <v>18</v>
      </c>
      <c r="E268">
        <f>IF(D268="Residential",1,0)</f>
        <v>0</v>
      </c>
      <c r="F268">
        <f t="shared" si="12"/>
        <v>1</v>
      </c>
      <c r="G268">
        <f t="shared" si="13"/>
        <v>0</v>
      </c>
      <c r="H268">
        <f t="shared" si="14"/>
        <v>0</v>
      </c>
      <c r="I268">
        <v>56602.39</v>
      </c>
      <c r="J268">
        <v>7969</v>
      </c>
      <c r="K268">
        <v>0.17</v>
      </c>
      <c r="L268">
        <v>21</v>
      </c>
      <c r="M268">
        <v>88.3</v>
      </c>
      <c r="N268">
        <v>2.25</v>
      </c>
      <c r="O268">
        <v>0</v>
      </c>
      <c r="P268">
        <v>3.7</v>
      </c>
      <c r="Q268">
        <v>745580.51</v>
      </c>
      <c r="R268">
        <v>116273.68</v>
      </c>
    </row>
    <row r="269" spans="1:18">
      <c r="A269" s="3" t="s">
        <v>88</v>
      </c>
      <c r="B269" s="2">
        <v>45748</v>
      </c>
      <c r="C269" t="s">
        <v>15</v>
      </c>
      <c r="D269" t="s">
        <v>18</v>
      </c>
      <c r="E269">
        <f>IF(D269="Residential",1,0)</f>
        <v>0</v>
      </c>
      <c r="F269">
        <f t="shared" si="12"/>
        <v>1</v>
      </c>
      <c r="G269">
        <f t="shared" si="13"/>
        <v>0</v>
      </c>
      <c r="H269">
        <f t="shared" si="14"/>
        <v>0</v>
      </c>
      <c r="I269">
        <v>67722.289999999994</v>
      </c>
      <c r="J269">
        <v>7240</v>
      </c>
      <c r="K269">
        <v>2.5999999999999999E-2</v>
      </c>
      <c r="L269">
        <v>15</v>
      </c>
      <c r="M269">
        <v>92.9</v>
      </c>
      <c r="N269">
        <v>0.28999999999999998</v>
      </c>
      <c r="O269">
        <v>0</v>
      </c>
      <c r="P269">
        <v>3.5</v>
      </c>
      <c r="Q269">
        <v>762328.31</v>
      </c>
      <c r="R269">
        <v>159158.19</v>
      </c>
    </row>
    <row r="270" spans="1:18">
      <c r="A270" s="3" t="s">
        <v>89</v>
      </c>
      <c r="B270" s="2">
        <v>45658</v>
      </c>
      <c r="C270" t="s">
        <v>15</v>
      </c>
      <c r="D270" t="s">
        <v>28</v>
      </c>
      <c r="E270">
        <f>IF(D270="Residential",1,0)</f>
        <v>0</v>
      </c>
      <c r="F270">
        <f t="shared" si="12"/>
        <v>0</v>
      </c>
      <c r="G270">
        <f t="shared" si="13"/>
        <v>0</v>
      </c>
      <c r="H270">
        <f t="shared" si="14"/>
        <v>1</v>
      </c>
      <c r="I270">
        <v>48752.92</v>
      </c>
      <c r="J270">
        <v>8052</v>
      </c>
      <c r="K270">
        <v>0.106</v>
      </c>
      <c r="L270">
        <v>16</v>
      </c>
      <c r="M270">
        <v>94.9</v>
      </c>
      <c r="N270">
        <v>0.65</v>
      </c>
      <c r="O270">
        <v>0</v>
      </c>
      <c r="P270">
        <v>3.6</v>
      </c>
      <c r="Q270">
        <v>660633.99</v>
      </c>
      <c r="R270">
        <v>118768.66</v>
      </c>
    </row>
    <row r="271" spans="1:18">
      <c r="A271" s="3" t="s">
        <v>89</v>
      </c>
      <c r="B271" s="2">
        <v>45689</v>
      </c>
      <c r="C271" t="s">
        <v>15</v>
      </c>
      <c r="D271" t="s">
        <v>28</v>
      </c>
      <c r="E271">
        <f>IF(D271="Residential",1,0)</f>
        <v>0</v>
      </c>
      <c r="F271">
        <f t="shared" si="12"/>
        <v>0</v>
      </c>
      <c r="G271">
        <f t="shared" si="13"/>
        <v>0</v>
      </c>
      <c r="H271">
        <f t="shared" si="14"/>
        <v>1</v>
      </c>
      <c r="I271">
        <v>23914.97</v>
      </c>
      <c r="J271">
        <v>8018</v>
      </c>
      <c r="K271">
        <v>0.13900000000000001</v>
      </c>
      <c r="L271">
        <v>20</v>
      </c>
      <c r="M271">
        <v>89</v>
      </c>
      <c r="N271">
        <v>0.2</v>
      </c>
      <c r="O271">
        <v>0</v>
      </c>
      <c r="P271">
        <v>3.5</v>
      </c>
      <c r="Q271">
        <v>739374.56</v>
      </c>
      <c r="R271">
        <v>121032.29</v>
      </c>
    </row>
    <row r="272" spans="1:18">
      <c r="A272" s="3" t="s">
        <v>89</v>
      </c>
      <c r="B272" s="2">
        <v>45717</v>
      </c>
      <c r="C272" t="s">
        <v>15</v>
      </c>
      <c r="D272" t="s">
        <v>28</v>
      </c>
      <c r="E272">
        <f>IF(D272="Residential",1,0)</f>
        <v>0</v>
      </c>
      <c r="F272">
        <f t="shared" si="12"/>
        <v>0</v>
      </c>
      <c r="G272">
        <f t="shared" si="13"/>
        <v>0</v>
      </c>
      <c r="H272">
        <f t="shared" si="14"/>
        <v>1</v>
      </c>
      <c r="I272">
        <v>61995.3</v>
      </c>
      <c r="J272">
        <v>10192</v>
      </c>
      <c r="K272">
        <v>0.19800000000000001</v>
      </c>
      <c r="L272">
        <v>21</v>
      </c>
      <c r="M272">
        <v>87.6</v>
      </c>
      <c r="N272">
        <v>3.63</v>
      </c>
      <c r="O272">
        <v>1</v>
      </c>
      <c r="P272">
        <v>3.8</v>
      </c>
      <c r="Q272">
        <v>799756.46</v>
      </c>
      <c r="R272">
        <v>105052.93</v>
      </c>
    </row>
    <row r="273" spans="1:18">
      <c r="A273" s="3" t="s">
        <v>89</v>
      </c>
      <c r="B273" s="2">
        <v>45748</v>
      </c>
      <c r="C273" t="s">
        <v>15</v>
      </c>
      <c r="D273" t="s">
        <v>28</v>
      </c>
      <c r="E273">
        <f>IF(D273="Residential",1,0)</f>
        <v>0</v>
      </c>
      <c r="F273">
        <f t="shared" si="12"/>
        <v>0</v>
      </c>
      <c r="G273">
        <f t="shared" si="13"/>
        <v>0</v>
      </c>
      <c r="H273">
        <f t="shared" si="14"/>
        <v>1</v>
      </c>
      <c r="I273">
        <v>29344.93</v>
      </c>
      <c r="J273">
        <v>7446</v>
      </c>
      <c r="K273">
        <v>0.111</v>
      </c>
      <c r="L273">
        <v>15</v>
      </c>
      <c r="M273">
        <v>86.2</v>
      </c>
      <c r="N273">
        <v>0.2</v>
      </c>
      <c r="O273">
        <v>0</v>
      </c>
      <c r="P273">
        <v>3.2</v>
      </c>
      <c r="Q273">
        <v>593343</v>
      </c>
      <c r="R273">
        <v>82832.240000000005</v>
      </c>
    </row>
    <row r="274" spans="1:18">
      <c r="A274" s="3" t="s">
        <v>90</v>
      </c>
      <c r="B274" s="2">
        <v>45658</v>
      </c>
      <c r="C274" t="s">
        <v>27</v>
      </c>
      <c r="D274" t="s">
        <v>18</v>
      </c>
      <c r="E274">
        <f>IF(D274="Residential",1,0)</f>
        <v>0</v>
      </c>
      <c r="F274">
        <f t="shared" si="12"/>
        <v>1</v>
      </c>
      <c r="G274">
        <f t="shared" si="13"/>
        <v>0</v>
      </c>
      <c r="H274">
        <f t="shared" si="14"/>
        <v>0</v>
      </c>
      <c r="I274">
        <v>50532.17</v>
      </c>
      <c r="J274">
        <v>5689</v>
      </c>
      <c r="K274">
        <v>5.1999999999999998E-2</v>
      </c>
      <c r="L274">
        <v>17</v>
      </c>
      <c r="M274">
        <v>85.6</v>
      </c>
      <c r="N274">
        <v>6.23</v>
      </c>
      <c r="O274">
        <v>0</v>
      </c>
      <c r="P274">
        <v>3.3</v>
      </c>
      <c r="Q274">
        <v>645039.97</v>
      </c>
      <c r="R274">
        <v>83093.33</v>
      </c>
    </row>
    <row r="275" spans="1:18">
      <c r="A275" s="3" t="s">
        <v>90</v>
      </c>
      <c r="B275" s="2">
        <v>45689</v>
      </c>
      <c r="C275" t="s">
        <v>27</v>
      </c>
      <c r="D275" t="s">
        <v>18</v>
      </c>
      <c r="E275">
        <f>IF(D275="Residential",1,0)</f>
        <v>0</v>
      </c>
      <c r="F275">
        <f t="shared" si="12"/>
        <v>1</v>
      </c>
      <c r="G275">
        <f t="shared" si="13"/>
        <v>0</v>
      </c>
      <c r="H275">
        <f t="shared" si="14"/>
        <v>0</v>
      </c>
      <c r="I275">
        <v>17562.57</v>
      </c>
      <c r="J275">
        <v>3326</v>
      </c>
      <c r="K275">
        <v>0.153</v>
      </c>
      <c r="L275">
        <v>14</v>
      </c>
      <c r="M275">
        <v>88.1</v>
      </c>
      <c r="N275">
        <v>1.04</v>
      </c>
      <c r="O275">
        <v>0</v>
      </c>
      <c r="P275">
        <v>3.1</v>
      </c>
      <c r="Q275">
        <v>561597.32999999996</v>
      </c>
      <c r="R275">
        <v>75072.75</v>
      </c>
    </row>
    <row r="276" spans="1:18">
      <c r="A276" s="3" t="s">
        <v>90</v>
      </c>
      <c r="B276" s="2">
        <v>45717</v>
      </c>
      <c r="C276" t="s">
        <v>27</v>
      </c>
      <c r="D276" t="s">
        <v>18</v>
      </c>
      <c r="E276">
        <f>IF(D276="Residential",1,0)</f>
        <v>0</v>
      </c>
      <c r="F276">
        <f t="shared" si="12"/>
        <v>1</v>
      </c>
      <c r="G276">
        <f t="shared" si="13"/>
        <v>0</v>
      </c>
      <c r="H276">
        <f t="shared" si="14"/>
        <v>0</v>
      </c>
      <c r="I276">
        <v>47648.71</v>
      </c>
      <c r="J276">
        <v>5767</v>
      </c>
      <c r="K276">
        <v>0.14099999999999999</v>
      </c>
      <c r="L276">
        <v>17</v>
      </c>
      <c r="M276">
        <v>89.8</v>
      </c>
      <c r="N276">
        <v>1.76</v>
      </c>
      <c r="O276">
        <v>0</v>
      </c>
      <c r="P276">
        <v>3.1</v>
      </c>
      <c r="Q276">
        <v>635837.74</v>
      </c>
      <c r="R276">
        <v>114740.64</v>
      </c>
    </row>
    <row r="277" spans="1:18">
      <c r="A277" s="3" t="s">
        <v>90</v>
      </c>
      <c r="B277" s="2">
        <v>45748</v>
      </c>
      <c r="C277" t="s">
        <v>27</v>
      </c>
      <c r="D277" t="s">
        <v>18</v>
      </c>
      <c r="E277">
        <f>IF(D277="Residential",1,0)</f>
        <v>0</v>
      </c>
      <c r="F277">
        <f t="shared" si="12"/>
        <v>1</v>
      </c>
      <c r="G277">
        <f t="shared" si="13"/>
        <v>0</v>
      </c>
      <c r="H277">
        <f t="shared" si="14"/>
        <v>0</v>
      </c>
      <c r="I277">
        <v>38297.58</v>
      </c>
      <c r="J277">
        <v>5893</v>
      </c>
      <c r="K277">
        <v>0.247</v>
      </c>
      <c r="L277">
        <v>18</v>
      </c>
      <c r="M277">
        <v>77.599999999999994</v>
      </c>
      <c r="N277">
        <v>2.86</v>
      </c>
      <c r="O277">
        <v>0</v>
      </c>
      <c r="P277">
        <v>3</v>
      </c>
      <c r="Q277">
        <v>686737.87</v>
      </c>
      <c r="R277">
        <v>83839.67</v>
      </c>
    </row>
    <row r="278" spans="1:18">
      <c r="A278" s="3" t="s">
        <v>91</v>
      </c>
      <c r="B278" s="2">
        <v>45658</v>
      </c>
      <c r="C278" t="s">
        <v>24</v>
      </c>
      <c r="D278" t="s">
        <v>16</v>
      </c>
      <c r="E278">
        <f>IF(D278="Residential",1,0)</f>
        <v>1</v>
      </c>
      <c r="F278">
        <f t="shared" si="12"/>
        <v>0</v>
      </c>
      <c r="G278">
        <f t="shared" si="13"/>
        <v>0</v>
      </c>
      <c r="H278">
        <f t="shared" si="14"/>
        <v>0</v>
      </c>
      <c r="I278">
        <v>61784.11</v>
      </c>
      <c r="J278">
        <v>8564</v>
      </c>
      <c r="K278">
        <v>0.13</v>
      </c>
      <c r="L278">
        <v>17</v>
      </c>
      <c r="M278">
        <v>87.4</v>
      </c>
      <c r="N278">
        <v>18.14</v>
      </c>
      <c r="O278">
        <v>1</v>
      </c>
      <c r="P278">
        <v>3.4</v>
      </c>
      <c r="Q278">
        <v>673076.34</v>
      </c>
      <c r="R278">
        <v>93899.76</v>
      </c>
    </row>
    <row r="279" spans="1:18">
      <c r="A279" s="3" t="s">
        <v>91</v>
      </c>
      <c r="B279" s="2">
        <v>45689</v>
      </c>
      <c r="C279" t="s">
        <v>24</v>
      </c>
      <c r="D279" t="s">
        <v>16</v>
      </c>
      <c r="E279">
        <f>IF(D279="Residential",1,0)</f>
        <v>1</v>
      </c>
      <c r="F279">
        <f t="shared" si="12"/>
        <v>0</v>
      </c>
      <c r="G279">
        <f t="shared" si="13"/>
        <v>0</v>
      </c>
      <c r="H279">
        <f t="shared" si="14"/>
        <v>0</v>
      </c>
      <c r="I279">
        <v>36832.33</v>
      </c>
      <c r="J279">
        <v>8001</v>
      </c>
      <c r="K279">
        <v>0</v>
      </c>
      <c r="L279">
        <v>19</v>
      </c>
      <c r="M279">
        <v>88.7</v>
      </c>
      <c r="N279">
        <v>3.39</v>
      </c>
      <c r="O279">
        <v>0</v>
      </c>
      <c r="P279">
        <v>4</v>
      </c>
      <c r="Q279">
        <v>738548.42</v>
      </c>
      <c r="R279">
        <v>134282.76999999999</v>
      </c>
    </row>
    <row r="280" spans="1:18">
      <c r="A280" s="3" t="s">
        <v>91</v>
      </c>
      <c r="B280" s="2">
        <v>45717</v>
      </c>
      <c r="C280" t="s">
        <v>24</v>
      </c>
      <c r="D280" t="s">
        <v>16</v>
      </c>
      <c r="E280">
        <f>IF(D280="Residential",1,0)</f>
        <v>1</v>
      </c>
      <c r="F280">
        <f t="shared" si="12"/>
        <v>0</v>
      </c>
      <c r="G280">
        <f t="shared" si="13"/>
        <v>0</v>
      </c>
      <c r="H280">
        <f t="shared" si="14"/>
        <v>0</v>
      </c>
      <c r="I280">
        <v>48609.41</v>
      </c>
      <c r="J280">
        <v>9324</v>
      </c>
      <c r="K280">
        <v>0.21299999999999999</v>
      </c>
      <c r="L280">
        <v>18</v>
      </c>
      <c r="M280">
        <v>86.5</v>
      </c>
      <c r="N280">
        <v>1.44</v>
      </c>
      <c r="O280">
        <v>0</v>
      </c>
      <c r="P280">
        <v>3.9</v>
      </c>
      <c r="Q280">
        <v>756619.77</v>
      </c>
      <c r="R280">
        <v>112057.69</v>
      </c>
    </row>
    <row r="281" spans="1:18">
      <c r="A281" s="3" t="s">
        <v>91</v>
      </c>
      <c r="B281" s="2">
        <v>45748</v>
      </c>
      <c r="C281" t="s">
        <v>24</v>
      </c>
      <c r="D281" t="s">
        <v>16</v>
      </c>
      <c r="E281">
        <f>IF(D281="Residential",1,0)</f>
        <v>1</v>
      </c>
      <c r="F281">
        <f t="shared" si="12"/>
        <v>0</v>
      </c>
      <c r="G281">
        <f t="shared" si="13"/>
        <v>0</v>
      </c>
      <c r="H281">
        <f t="shared" si="14"/>
        <v>0</v>
      </c>
      <c r="I281">
        <v>70284.06</v>
      </c>
      <c r="J281">
        <v>9109</v>
      </c>
      <c r="K281">
        <v>4.0000000000000001E-3</v>
      </c>
      <c r="L281">
        <v>23</v>
      </c>
      <c r="M281">
        <v>87</v>
      </c>
      <c r="N281">
        <v>3.65</v>
      </c>
      <c r="O281">
        <v>0</v>
      </c>
      <c r="P281">
        <v>3.7</v>
      </c>
      <c r="Q281">
        <v>761122.42</v>
      </c>
      <c r="R281">
        <v>149802.04</v>
      </c>
    </row>
    <row r="282" spans="1:18">
      <c r="A282" s="3" t="s">
        <v>92</v>
      </c>
      <c r="B282" s="2">
        <v>45658</v>
      </c>
      <c r="C282" t="s">
        <v>24</v>
      </c>
      <c r="D282" t="s">
        <v>18</v>
      </c>
      <c r="E282">
        <f>IF(D282="Residential",1,0)</f>
        <v>0</v>
      </c>
      <c r="F282">
        <f t="shared" si="12"/>
        <v>1</v>
      </c>
      <c r="G282">
        <f t="shared" si="13"/>
        <v>0</v>
      </c>
      <c r="H282">
        <f t="shared" si="14"/>
        <v>0</v>
      </c>
      <c r="I282">
        <v>45940.39</v>
      </c>
      <c r="J282">
        <v>4022</v>
      </c>
      <c r="K282">
        <v>6.9000000000000006E-2</v>
      </c>
      <c r="L282">
        <v>10</v>
      </c>
      <c r="M282">
        <v>83</v>
      </c>
      <c r="N282">
        <v>1.23</v>
      </c>
      <c r="O282">
        <v>1</v>
      </c>
      <c r="P282">
        <v>3.8</v>
      </c>
      <c r="Q282">
        <v>524899.56999999995</v>
      </c>
      <c r="R282">
        <v>63619.98</v>
      </c>
    </row>
    <row r="283" spans="1:18">
      <c r="A283" s="3" t="s">
        <v>92</v>
      </c>
      <c r="B283" s="2">
        <v>45689</v>
      </c>
      <c r="C283" t="s">
        <v>24</v>
      </c>
      <c r="D283" t="s">
        <v>18</v>
      </c>
      <c r="E283">
        <f>IF(D283="Residential",1,0)</f>
        <v>0</v>
      </c>
      <c r="F283">
        <f t="shared" si="12"/>
        <v>1</v>
      </c>
      <c r="G283">
        <f t="shared" si="13"/>
        <v>0</v>
      </c>
      <c r="H283">
        <f t="shared" si="14"/>
        <v>0</v>
      </c>
      <c r="I283">
        <v>34771.26</v>
      </c>
      <c r="J283">
        <v>4355</v>
      </c>
      <c r="K283">
        <v>5.0999999999999997E-2</v>
      </c>
      <c r="L283">
        <v>15</v>
      </c>
      <c r="M283">
        <v>87.9</v>
      </c>
      <c r="N283">
        <v>3.09</v>
      </c>
      <c r="O283">
        <v>0</v>
      </c>
      <c r="P283">
        <v>4</v>
      </c>
      <c r="Q283">
        <v>555557.77</v>
      </c>
      <c r="R283">
        <v>86475.51</v>
      </c>
    </row>
    <row r="284" spans="1:18">
      <c r="A284" s="3" t="s">
        <v>92</v>
      </c>
      <c r="B284" s="2">
        <v>45717</v>
      </c>
      <c r="C284" t="s">
        <v>24</v>
      </c>
      <c r="D284" t="s">
        <v>18</v>
      </c>
      <c r="E284">
        <f>IF(D284="Residential",1,0)</f>
        <v>0</v>
      </c>
      <c r="F284">
        <f t="shared" si="12"/>
        <v>1</v>
      </c>
      <c r="G284">
        <f t="shared" si="13"/>
        <v>0</v>
      </c>
      <c r="H284">
        <f t="shared" si="14"/>
        <v>0</v>
      </c>
      <c r="I284">
        <v>66104.19</v>
      </c>
      <c r="J284">
        <v>5745</v>
      </c>
      <c r="K284">
        <v>7.0000000000000007E-2</v>
      </c>
      <c r="L284">
        <v>17</v>
      </c>
      <c r="M284">
        <v>95.8</v>
      </c>
      <c r="N284">
        <v>3.15</v>
      </c>
      <c r="O284">
        <v>0</v>
      </c>
      <c r="P284">
        <v>4</v>
      </c>
      <c r="Q284">
        <v>714083.68</v>
      </c>
      <c r="R284">
        <v>127231.74</v>
      </c>
    </row>
    <row r="285" spans="1:18">
      <c r="A285" s="3" t="s">
        <v>92</v>
      </c>
      <c r="B285" s="2">
        <v>45748</v>
      </c>
      <c r="C285" t="s">
        <v>24</v>
      </c>
      <c r="D285" t="s">
        <v>18</v>
      </c>
      <c r="E285">
        <f>IF(D285="Residential",1,0)</f>
        <v>0</v>
      </c>
      <c r="F285">
        <f t="shared" si="12"/>
        <v>1</v>
      </c>
      <c r="G285">
        <f t="shared" si="13"/>
        <v>0</v>
      </c>
      <c r="H285">
        <f t="shared" si="14"/>
        <v>0</v>
      </c>
      <c r="I285">
        <v>18599.21</v>
      </c>
      <c r="J285">
        <v>3027</v>
      </c>
      <c r="K285">
        <v>0.122</v>
      </c>
      <c r="L285">
        <v>11</v>
      </c>
      <c r="M285">
        <v>80.900000000000006</v>
      </c>
      <c r="N285">
        <v>6.44</v>
      </c>
      <c r="O285">
        <v>0</v>
      </c>
      <c r="P285">
        <v>4.2</v>
      </c>
      <c r="Q285">
        <v>497439.82</v>
      </c>
      <c r="R285">
        <v>93372.75</v>
      </c>
    </row>
    <row r="286" spans="1:18">
      <c r="A286" s="3" t="s">
        <v>93</v>
      </c>
      <c r="B286" s="2">
        <v>45658</v>
      </c>
      <c r="C286" t="s">
        <v>27</v>
      </c>
      <c r="D286" t="s">
        <v>16</v>
      </c>
      <c r="E286">
        <f>IF(D286="Residential",1,0)</f>
        <v>1</v>
      </c>
      <c r="F286">
        <f t="shared" si="12"/>
        <v>0</v>
      </c>
      <c r="G286">
        <f t="shared" si="13"/>
        <v>0</v>
      </c>
      <c r="H286">
        <f t="shared" si="14"/>
        <v>0</v>
      </c>
      <c r="I286">
        <v>60183.06</v>
      </c>
      <c r="J286">
        <v>5562</v>
      </c>
      <c r="K286">
        <v>8.9999999999999993E-3</v>
      </c>
      <c r="L286">
        <v>13</v>
      </c>
      <c r="M286">
        <v>86.3</v>
      </c>
      <c r="N286">
        <v>0.2</v>
      </c>
      <c r="O286">
        <v>1</v>
      </c>
      <c r="P286">
        <v>4.5</v>
      </c>
      <c r="Q286">
        <v>636775.66</v>
      </c>
      <c r="R286">
        <v>122636.86</v>
      </c>
    </row>
    <row r="287" spans="1:18">
      <c r="A287" s="3" t="s">
        <v>93</v>
      </c>
      <c r="B287" s="2">
        <v>45689</v>
      </c>
      <c r="C287" t="s">
        <v>27</v>
      </c>
      <c r="D287" t="s">
        <v>16</v>
      </c>
      <c r="E287">
        <f>IF(D287="Residential",1,0)</f>
        <v>1</v>
      </c>
      <c r="F287">
        <f t="shared" si="12"/>
        <v>0</v>
      </c>
      <c r="G287">
        <f t="shared" si="13"/>
        <v>0</v>
      </c>
      <c r="H287">
        <f t="shared" si="14"/>
        <v>0</v>
      </c>
      <c r="I287">
        <v>74539.14</v>
      </c>
      <c r="J287">
        <v>4487</v>
      </c>
      <c r="K287">
        <v>0.14000000000000001</v>
      </c>
      <c r="L287">
        <v>10</v>
      </c>
      <c r="M287">
        <v>90.4</v>
      </c>
      <c r="N287">
        <v>0.59</v>
      </c>
      <c r="O287">
        <v>0</v>
      </c>
      <c r="P287">
        <v>4.5</v>
      </c>
      <c r="Q287">
        <v>633009.53</v>
      </c>
      <c r="R287">
        <v>123782.67</v>
      </c>
    </row>
    <row r="288" spans="1:18">
      <c r="A288" s="3" t="s">
        <v>93</v>
      </c>
      <c r="B288" s="2">
        <v>45717</v>
      </c>
      <c r="C288" t="s">
        <v>27</v>
      </c>
      <c r="D288" t="s">
        <v>16</v>
      </c>
      <c r="E288">
        <f>IF(D288="Residential",1,0)</f>
        <v>1</v>
      </c>
      <c r="F288">
        <f t="shared" si="12"/>
        <v>0</v>
      </c>
      <c r="G288">
        <f t="shared" si="13"/>
        <v>0</v>
      </c>
      <c r="H288">
        <f t="shared" si="14"/>
        <v>0</v>
      </c>
      <c r="I288">
        <v>55371.97</v>
      </c>
      <c r="J288">
        <v>4162</v>
      </c>
      <c r="K288">
        <v>0.183</v>
      </c>
      <c r="L288">
        <v>11</v>
      </c>
      <c r="M288">
        <v>92</v>
      </c>
      <c r="N288">
        <v>0.2</v>
      </c>
      <c r="O288">
        <v>1</v>
      </c>
      <c r="P288">
        <v>4.2</v>
      </c>
      <c r="Q288">
        <v>609949</v>
      </c>
      <c r="R288">
        <v>126789.25</v>
      </c>
    </row>
    <row r="289" spans="1:18">
      <c r="A289" s="3" t="s">
        <v>93</v>
      </c>
      <c r="B289" s="2">
        <v>45748</v>
      </c>
      <c r="C289" t="s">
        <v>27</v>
      </c>
      <c r="D289" t="s">
        <v>16</v>
      </c>
      <c r="E289">
        <f>IF(D289="Residential",1,0)</f>
        <v>1</v>
      </c>
      <c r="F289">
        <f t="shared" si="12"/>
        <v>0</v>
      </c>
      <c r="G289">
        <f t="shared" si="13"/>
        <v>0</v>
      </c>
      <c r="H289">
        <f t="shared" si="14"/>
        <v>0</v>
      </c>
      <c r="I289">
        <v>40928.69</v>
      </c>
      <c r="J289">
        <v>4094</v>
      </c>
      <c r="K289">
        <v>0.17399999999999999</v>
      </c>
      <c r="L289">
        <v>13</v>
      </c>
      <c r="M289">
        <v>82.4</v>
      </c>
      <c r="N289">
        <v>1.36</v>
      </c>
      <c r="O289">
        <v>0</v>
      </c>
      <c r="P289">
        <v>4.8</v>
      </c>
      <c r="Q289">
        <v>548103.69999999995</v>
      </c>
      <c r="R289">
        <v>99905.52</v>
      </c>
    </row>
    <row r="290" spans="1:18">
      <c r="A290" s="3" t="s">
        <v>94</v>
      </c>
      <c r="B290" s="2">
        <v>45658</v>
      </c>
      <c r="C290" t="s">
        <v>15</v>
      </c>
      <c r="D290" t="s">
        <v>16</v>
      </c>
      <c r="E290">
        <f>IF(D290="Residential",1,0)</f>
        <v>1</v>
      </c>
      <c r="F290">
        <f t="shared" si="12"/>
        <v>0</v>
      </c>
      <c r="G290">
        <f t="shared" si="13"/>
        <v>0</v>
      </c>
      <c r="H290">
        <f t="shared" si="14"/>
        <v>0</v>
      </c>
      <c r="I290">
        <v>70012.41</v>
      </c>
      <c r="J290">
        <v>8484</v>
      </c>
      <c r="K290">
        <v>0.27300000000000002</v>
      </c>
      <c r="L290">
        <v>23</v>
      </c>
      <c r="M290">
        <v>72.900000000000006</v>
      </c>
      <c r="N290">
        <v>3.34</v>
      </c>
      <c r="O290">
        <v>0</v>
      </c>
      <c r="P290">
        <v>3.7</v>
      </c>
      <c r="Q290">
        <v>729424.42</v>
      </c>
      <c r="R290">
        <v>75592.28</v>
      </c>
    </row>
    <row r="291" spans="1:18">
      <c r="A291" s="3" t="s">
        <v>94</v>
      </c>
      <c r="B291" s="2">
        <v>45689</v>
      </c>
      <c r="C291" t="s">
        <v>15</v>
      </c>
      <c r="D291" t="s">
        <v>16</v>
      </c>
      <c r="E291">
        <f>IF(D291="Residential",1,0)</f>
        <v>1</v>
      </c>
      <c r="F291">
        <f t="shared" si="12"/>
        <v>0</v>
      </c>
      <c r="G291">
        <f t="shared" si="13"/>
        <v>0</v>
      </c>
      <c r="H291">
        <f t="shared" si="14"/>
        <v>0</v>
      </c>
      <c r="I291">
        <v>68909.259999999995</v>
      </c>
      <c r="J291">
        <v>7794</v>
      </c>
      <c r="K291">
        <v>0.28399999999999997</v>
      </c>
      <c r="L291">
        <v>22</v>
      </c>
      <c r="M291">
        <v>89</v>
      </c>
      <c r="N291">
        <v>0.33</v>
      </c>
      <c r="O291">
        <v>0</v>
      </c>
      <c r="P291">
        <v>4</v>
      </c>
      <c r="Q291">
        <v>696261.49</v>
      </c>
      <c r="R291">
        <v>72455.350000000006</v>
      </c>
    </row>
    <row r="292" spans="1:18">
      <c r="A292" s="3" t="s">
        <v>94</v>
      </c>
      <c r="B292" s="2">
        <v>45717</v>
      </c>
      <c r="C292" t="s">
        <v>15</v>
      </c>
      <c r="D292" t="s">
        <v>16</v>
      </c>
      <c r="E292">
        <f>IF(D292="Residential",1,0)</f>
        <v>1</v>
      </c>
      <c r="F292">
        <f t="shared" si="12"/>
        <v>0</v>
      </c>
      <c r="G292">
        <f t="shared" si="13"/>
        <v>0</v>
      </c>
      <c r="H292">
        <f t="shared" si="14"/>
        <v>0</v>
      </c>
      <c r="I292">
        <v>56737.3</v>
      </c>
      <c r="J292">
        <v>8300</v>
      </c>
      <c r="K292">
        <v>3.2000000000000001E-2</v>
      </c>
      <c r="L292">
        <v>21</v>
      </c>
      <c r="M292">
        <v>83.2</v>
      </c>
      <c r="N292">
        <v>3.44</v>
      </c>
      <c r="O292">
        <v>1</v>
      </c>
      <c r="P292">
        <v>4.3</v>
      </c>
      <c r="Q292">
        <v>813316.71</v>
      </c>
      <c r="R292">
        <v>110077.42</v>
      </c>
    </row>
    <row r="293" spans="1:18">
      <c r="A293" s="3" t="s">
        <v>94</v>
      </c>
      <c r="B293" s="2">
        <v>45748</v>
      </c>
      <c r="C293" t="s">
        <v>15</v>
      </c>
      <c r="D293" t="s">
        <v>16</v>
      </c>
      <c r="E293">
        <f>IF(D293="Residential",1,0)</f>
        <v>1</v>
      </c>
      <c r="F293">
        <f t="shared" si="12"/>
        <v>0</v>
      </c>
      <c r="G293">
        <f t="shared" si="13"/>
        <v>0</v>
      </c>
      <c r="H293">
        <f t="shared" si="14"/>
        <v>0</v>
      </c>
      <c r="I293">
        <v>54080.91</v>
      </c>
      <c r="J293">
        <v>7083</v>
      </c>
      <c r="K293">
        <v>0</v>
      </c>
      <c r="L293">
        <v>15</v>
      </c>
      <c r="M293">
        <v>97</v>
      </c>
      <c r="N293">
        <v>5.33</v>
      </c>
      <c r="O293">
        <v>0</v>
      </c>
      <c r="P293">
        <v>4.0999999999999996</v>
      </c>
      <c r="Q293">
        <v>702068.92</v>
      </c>
      <c r="R293">
        <v>111266.63</v>
      </c>
    </row>
    <row r="294" spans="1:18">
      <c r="A294" s="3" t="s">
        <v>95</v>
      </c>
      <c r="B294" s="2">
        <v>45658</v>
      </c>
      <c r="C294" t="s">
        <v>27</v>
      </c>
      <c r="D294" t="s">
        <v>18</v>
      </c>
      <c r="E294">
        <f>IF(D294="Residential",1,0)</f>
        <v>0</v>
      </c>
      <c r="F294">
        <f t="shared" si="12"/>
        <v>1</v>
      </c>
      <c r="G294">
        <f t="shared" si="13"/>
        <v>0</v>
      </c>
      <c r="H294">
        <f t="shared" si="14"/>
        <v>0</v>
      </c>
      <c r="I294">
        <v>51996.32</v>
      </c>
      <c r="J294">
        <v>3834</v>
      </c>
      <c r="K294">
        <v>9.6000000000000002E-2</v>
      </c>
      <c r="L294">
        <v>8</v>
      </c>
      <c r="M294">
        <v>86.7</v>
      </c>
      <c r="N294">
        <v>6.04</v>
      </c>
      <c r="O294">
        <v>0</v>
      </c>
      <c r="P294">
        <v>4.5</v>
      </c>
      <c r="Q294">
        <v>546223.69999999995</v>
      </c>
      <c r="R294">
        <v>100769.17</v>
      </c>
    </row>
    <row r="295" spans="1:18">
      <c r="A295" s="3" t="s">
        <v>95</v>
      </c>
      <c r="B295" s="2">
        <v>45689</v>
      </c>
      <c r="C295" t="s">
        <v>27</v>
      </c>
      <c r="D295" t="s">
        <v>18</v>
      </c>
      <c r="E295">
        <f>IF(D295="Residential",1,0)</f>
        <v>0</v>
      </c>
      <c r="F295">
        <f t="shared" si="12"/>
        <v>1</v>
      </c>
      <c r="G295">
        <f t="shared" si="13"/>
        <v>0</v>
      </c>
      <c r="H295">
        <f t="shared" si="14"/>
        <v>0</v>
      </c>
      <c r="I295">
        <v>40102.879999999997</v>
      </c>
      <c r="J295">
        <v>2358</v>
      </c>
      <c r="K295">
        <v>0.11899999999999999</v>
      </c>
      <c r="L295">
        <v>9</v>
      </c>
      <c r="M295">
        <v>88.7</v>
      </c>
      <c r="N295">
        <v>1.6</v>
      </c>
      <c r="O295">
        <v>0</v>
      </c>
      <c r="P295">
        <v>4.2</v>
      </c>
      <c r="Q295">
        <v>533121.26</v>
      </c>
      <c r="R295">
        <v>55063.39</v>
      </c>
    </row>
    <row r="296" spans="1:18">
      <c r="A296" s="3" t="s">
        <v>95</v>
      </c>
      <c r="B296" s="2">
        <v>45717</v>
      </c>
      <c r="C296" t="s">
        <v>27</v>
      </c>
      <c r="D296" t="s">
        <v>18</v>
      </c>
      <c r="E296">
        <f>IF(D296="Residential",1,0)</f>
        <v>0</v>
      </c>
      <c r="F296">
        <f t="shared" si="12"/>
        <v>1</v>
      </c>
      <c r="G296">
        <f t="shared" si="13"/>
        <v>0</v>
      </c>
      <c r="H296">
        <f t="shared" si="14"/>
        <v>0</v>
      </c>
      <c r="I296">
        <v>59825.51</v>
      </c>
      <c r="J296">
        <v>1231</v>
      </c>
      <c r="K296">
        <v>0.214</v>
      </c>
      <c r="L296">
        <v>10</v>
      </c>
      <c r="M296">
        <v>84.8</v>
      </c>
      <c r="N296">
        <v>8.9600000000000009</v>
      </c>
      <c r="O296">
        <v>0</v>
      </c>
      <c r="P296">
        <v>4.7</v>
      </c>
      <c r="Q296">
        <v>498970.32</v>
      </c>
      <c r="R296">
        <v>69656.7</v>
      </c>
    </row>
    <row r="297" spans="1:18">
      <c r="A297" s="3" t="s">
        <v>95</v>
      </c>
      <c r="B297" s="2">
        <v>45748</v>
      </c>
      <c r="C297" t="s">
        <v>27</v>
      </c>
      <c r="D297" t="s">
        <v>18</v>
      </c>
      <c r="E297">
        <f>IF(D297="Residential",1,0)</f>
        <v>0</v>
      </c>
      <c r="F297">
        <f t="shared" si="12"/>
        <v>1</v>
      </c>
      <c r="G297">
        <f t="shared" si="13"/>
        <v>0</v>
      </c>
      <c r="H297">
        <f t="shared" si="14"/>
        <v>0</v>
      </c>
      <c r="I297">
        <v>27398.28</v>
      </c>
      <c r="J297">
        <v>1723</v>
      </c>
      <c r="K297">
        <v>0.17100000000000001</v>
      </c>
      <c r="L297">
        <v>9</v>
      </c>
      <c r="M297">
        <v>81</v>
      </c>
      <c r="N297">
        <v>0.74</v>
      </c>
      <c r="O297">
        <v>0</v>
      </c>
      <c r="P297">
        <v>4.5999999999999996</v>
      </c>
      <c r="Q297">
        <v>487738.26</v>
      </c>
      <c r="R297">
        <v>96435.6</v>
      </c>
    </row>
    <row r="298" spans="1:18">
      <c r="A298" s="3" t="s">
        <v>96</v>
      </c>
      <c r="B298" s="2">
        <v>45658</v>
      </c>
      <c r="C298" t="s">
        <v>27</v>
      </c>
      <c r="D298" t="s">
        <v>18</v>
      </c>
      <c r="E298">
        <f>IF(D298="Residential",1,0)</f>
        <v>0</v>
      </c>
      <c r="F298">
        <f t="shared" si="12"/>
        <v>1</v>
      </c>
      <c r="G298">
        <f t="shared" si="13"/>
        <v>0</v>
      </c>
      <c r="H298">
        <f t="shared" si="14"/>
        <v>0</v>
      </c>
      <c r="I298">
        <v>55599.56</v>
      </c>
      <c r="J298">
        <v>5896</v>
      </c>
      <c r="K298">
        <v>3.5999999999999997E-2</v>
      </c>
      <c r="L298">
        <v>12</v>
      </c>
      <c r="M298">
        <v>93.1</v>
      </c>
      <c r="N298">
        <v>6.13</v>
      </c>
      <c r="O298">
        <v>0</v>
      </c>
      <c r="P298">
        <v>3.3</v>
      </c>
      <c r="Q298">
        <v>668459.37</v>
      </c>
      <c r="R298">
        <v>126435.42</v>
      </c>
    </row>
    <row r="299" spans="1:18">
      <c r="A299" s="3" t="s">
        <v>96</v>
      </c>
      <c r="B299" s="2">
        <v>45689</v>
      </c>
      <c r="C299" t="s">
        <v>27</v>
      </c>
      <c r="D299" t="s">
        <v>18</v>
      </c>
      <c r="E299">
        <f>IF(D299="Residential",1,0)</f>
        <v>0</v>
      </c>
      <c r="F299">
        <f t="shared" si="12"/>
        <v>1</v>
      </c>
      <c r="G299">
        <f t="shared" si="13"/>
        <v>0</v>
      </c>
      <c r="H299">
        <f t="shared" si="14"/>
        <v>0</v>
      </c>
      <c r="I299">
        <v>55477.61</v>
      </c>
      <c r="J299">
        <v>5903</v>
      </c>
      <c r="K299">
        <v>0.10199999999999999</v>
      </c>
      <c r="L299">
        <v>14</v>
      </c>
      <c r="M299">
        <v>96.2</v>
      </c>
      <c r="N299">
        <v>1.41</v>
      </c>
      <c r="O299">
        <v>0</v>
      </c>
      <c r="P299">
        <v>3.3</v>
      </c>
      <c r="Q299">
        <v>763162.45</v>
      </c>
      <c r="R299">
        <v>162524.04999999999</v>
      </c>
    </row>
    <row r="300" spans="1:18">
      <c r="A300" s="3" t="s">
        <v>96</v>
      </c>
      <c r="B300" s="2">
        <v>45717</v>
      </c>
      <c r="C300" t="s">
        <v>27</v>
      </c>
      <c r="D300" t="s">
        <v>18</v>
      </c>
      <c r="E300">
        <f>IF(D300="Residential",1,0)</f>
        <v>0</v>
      </c>
      <c r="F300">
        <f t="shared" si="12"/>
        <v>1</v>
      </c>
      <c r="G300">
        <f t="shared" si="13"/>
        <v>0</v>
      </c>
      <c r="H300">
        <f t="shared" si="14"/>
        <v>0</v>
      </c>
      <c r="I300">
        <v>46174.7</v>
      </c>
      <c r="J300">
        <v>4898</v>
      </c>
      <c r="K300">
        <v>0.114</v>
      </c>
      <c r="L300">
        <v>11</v>
      </c>
      <c r="M300">
        <v>91.7</v>
      </c>
      <c r="N300">
        <v>3.75</v>
      </c>
      <c r="O300">
        <v>0</v>
      </c>
      <c r="P300">
        <v>3.1</v>
      </c>
      <c r="Q300">
        <v>599017.32999999996</v>
      </c>
      <c r="R300">
        <v>134009.92000000001</v>
      </c>
    </row>
    <row r="301" spans="1:18">
      <c r="A301" s="3" t="s">
        <v>96</v>
      </c>
      <c r="B301" s="2">
        <v>45748</v>
      </c>
      <c r="C301" t="s">
        <v>27</v>
      </c>
      <c r="D301" t="s">
        <v>18</v>
      </c>
      <c r="E301">
        <f>IF(D301="Residential",1,0)</f>
        <v>0</v>
      </c>
      <c r="F301">
        <f t="shared" si="12"/>
        <v>1</v>
      </c>
      <c r="G301">
        <f t="shared" si="13"/>
        <v>0</v>
      </c>
      <c r="H301">
        <f t="shared" si="14"/>
        <v>0</v>
      </c>
      <c r="I301">
        <v>24362.98</v>
      </c>
      <c r="J301">
        <v>1462</v>
      </c>
      <c r="K301">
        <v>0.11700000000000001</v>
      </c>
      <c r="L301">
        <v>6</v>
      </c>
      <c r="M301">
        <v>89.3</v>
      </c>
      <c r="N301">
        <v>15.06</v>
      </c>
      <c r="O301">
        <v>0</v>
      </c>
      <c r="P301">
        <v>3.2</v>
      </c>
      <c r="Q301">
        <v>401582.58</v>
      </c>
      <c r="R301">
        <v>68454.929999999993</v>
      </c>
    </row>
    <row r="302" spans="1:18">
      <c r="A302" s="3" t="s">
        <v>97</v>
      </c>
      <c r="B302" s="2">
        <v>45658</v>
      </c>
      <c r="C302" t="s">
        <v>20</v>
      </c>
      <c r="D302" t="s">
        <v>28</v>
      </c>
      <c r="E302">
        <f>IF(D302="Residential",1,0)</f>
        <v>0</v>
      </c>
      <c r="F302">
        <f t="shared" si="12"/>
        <v>0</v>
      </c>
      <c r="G302">
        <f t="shared" si="13"/>
        <v>0</v>
      </c>
      <c r="H302">
        <f t="shared" si="14"/>
        <v>1</v>
      </c>
      <c r="I302">
        <v>40647.67</v>
      </c>
      <c r="J302">
        <v>8252</v>
      </c>
      <c r="K302">
        <v>0.14099999999999999</v>
      </c>
      <c r="L302">
        <v>22</v>
      </c>
      <c r="M302">
        <v>88.2</v>
      </c>
      <c r="N302">
        <v>5.07</v>
      </c>
      <c r="O302">
        <v>1</v>
      </c>
      <c r="P302">
        <v>4.0999999999999996</v>
      </c>
      <c r="Q302">
        <v>703812.99</v>
      </c>
      <c r="R302">
        <v>133577.98000000001</v>
      </c>
    </row>
    <row r="303" spans="1:18">
      <c r="A303" s="3" t="s">
        <v>97</v>
      </c>
      <c r="B303" s="2">
        <v>45689</v>
      </c>
      <c r="C303" t="s">
        <v>20</v>
      </c>
      <c r="D303" t="s">
        <v>28</v>
      </c>
      <c r="E303">
        <f>IF(D303="Residential",1,0)</f>
        <v>0</v>
      </c>
      <c r="F303">
        <f t="shared" si="12"/>
        <v>0</v>
      </c>
      <c r="G303">
        <f t="shared" si="13"/>
        <v>0</v>
      </c>
      <c r="H303">
        <f t="shared" si="14"/>
        <v>1</v>
      </c>
      <c r="I303">
        <v>63986.98</v>
      </c>
      <c r="J303">
        <v>7989</v>
      </c>
      <c r="K303">
        <v>7.3999999999999996E-2</v>
      </c>
      <c r="L303">
        <v>20</v>
      </c>
      <c r="M303">
        <v>83.3</v>
      </c>
      <c r="N303">
        <v>3.6</v>
      </c>
      <c r="O303">
        <v>0</v>
      </c>
      <c r="P303">
        <v>3.7</v>
      </c>
      <c r="Q303">
        <v>724346.73</v>
      </c>
      <c r="R303">
        <v>155013.91</v>
      </c>
    </row>
    <row r="304" spans="1:18">
      <c r="A304" s="3" t="s">
        <v>97</v>
      </c>
      <c r="B304" s="2">
        <v>45717</v>
      </c>
      <c r="C304" t="s">
        <v>20</v>
      </c>
      <c r="D304" t="s">
        <v>28</v>
      </c>
      <c r="E304">
        <f>IF(D304="Residential",1,0)</f>
        <v>0</v>
      </c>
      <c r="F304">
        <f t="shared" si="12"/>
        <v>0</v>
      </c>
      <c r="G304">
        <f t="shared" si="13"/>
        <v>0</v>
      </c>
      <c r="H304">
        <f t="shared" si="14"/>
        <v>1</v>
      </c>
      <c r="I304">
        <v>52843.75</v>
      </c>
      <c r="J304">
        <v>8268</v>
      </c>
      <c r="K304">
        <v>0.13800000000000001</v>
      </c>
      <c r="L304">
        <v>19</v>
      </c>
      <c r="M304">
        <v>87.3</v>
      </c>
      <c r="N304">
        <v>4.3899999999999997</v>
      </c>
      <c r="O304">
        <v>1</v>
      </c>
      <c r="P304">
        <v>4.7</v>
      </c>
      <c r="Q304">
        <v>730890.01</v>
      </c>
      <c r="R304">
        <v>105502.56</v>
      </c>
    </row>
    <row r="305" spans="1:18">
      <c r="A305" s="3" t="s">
        <v>97</v>
      </c>
      <c r="B305" s="2">
        <v>45748</v>
      </c>
      <c r="C305" t="s">
        <v>20</v>
      </c>
      <c r="D305" t="s">
        <v>28</v>
      </c>
      <c r="E305">
        <f>IF(D305="Residential",1,0)</f>
        <v>0</v>
      </c>
      <c r="F305">
        <f t="shared" si="12"/>
        <v>0</v>
      </c>
      <c r="G305">
        <f t="shared" si="13"/>
        <v>0</v>
      </c>
      <c r="H305">
        <f t="shared" si="14"/>
        <v>1</v>
      </c>
      <c r="I305">
        <v>31997.25</v>
      </c>
      <c r="J305">
        <v>8183</v>
      </c>
      <c r="K305">
        <v>0.19800000000000001</v>
      </c>
      <c r="L305">
        <v>18</v>
      </c>
      <c r="M305">
        <v>93</v>
      </c>
      <c r="N305">
        <v>2.79</v>
      </c>
      <c r="O305">
        <v>0</v>
      </c>
      <c r="P305">
        <v>4.2</v>
      </c>
      <c r="Q305">
        <v>780580.95</v>
      </c>
      <c r="R305">
        <v>138144.46</v>
      </c>
    </row>
    <row r="306" spans="1:18">
      <c r="A306" s="3" t="s">
        <v>98</v>
      </c>
      <c r="B306" s="2">
        <v>45658</v>
      </c>
      <c r="C306" t="s">
        <v>24</v>
      </c>
      <c r="D306" t="s">
        <v>16</v>
      </c>
      <c r="E306">
        <f>IF(D306="Residential",1,0)</f>
        <v>1</v>
      </c>
      <c r="F306">
        <f t="shared" si="12"/>
        <v>0</v>
      </c>
      <c r="G306">
        <f t="shared" si="13"/>
        <v>0</v>
      </c>
      <c r="H306">
        <f t="shared" si="14"/>
        <v>0</v>
      </c>
      <c r="I306">
        <v>54948.02</v>
      </c>
      <c r="J306">
        <v>6534</v>
      </c>
      <c r="K306">
        <v>0.183</v>
      </c>
      <c r="L306">
        <v>14</v>
      </c>
      <c r="M306">
        <v>94.5</v>
      </c>
      <c r="N306">
        <v>1.56</v>
      </c>
      <c r="O306">
        <v>0</v>
      </c>
      <c r="P306">
        <v>4</v>
      </c>
      <c r="Q306">
        <v>727957.48</v>
      </c>
      <c r="R306">
        <v>74805.23</v>
      </c>
    </row>
    <row r="307" spans="1:18">
      <c r="A307" s="3" t="s">
        <v>98</v>
      </c>
      <c r="B307" s="2">
        <v>45689</v>
      </c>
      <c r="C307" t="s">
        <v>24</v>
      </c>
      <c r="D307" t="s">
        <v>16</v>
      </c>
      <c r="E307">
        <f>IF(D307="Residential",1,0)</f>
        <v>1</v>
      </c>
      <c r="F307">
        <f t="shared" si="12"/>
        <v>0</v>
      </c>
      <c r="G307">
        <f t="shared" si="13"/>
        <v>0</v>
      </c>
      <c r="H307">
        <f t="shared" si="14"/>
        <v>0</v>
      </c>
      <c r="I307">
        <v>46146.239999999998</v>
      </c>
      <c r="J307">
        <v>5804</v>
      </c>
      <c r="K307">
        <v>4.7E-2</v>
      </c>
      <c r="L307">
        <v>16</v>
      </c>
      <c r="M307">
        <v>86.9</v>
      </c>
      <c r="N307">
        <v>15.82</v>
      </c>
      <c r="O307">
        <v>0</v>
      </c>
      <c r="P307">
        <v>3.8</v>
      </c>
      <c r="Q307">
        <v>538376</v>
      </c>
      <c r="R307">
        <v>87605.62</v>
      </c>
    </row>
    <row r="308" spans="1:18">
      <c r="A308" s="3" t="s">
        <v>98</v>
      </c>
      <c r="B308" s="2">
        <v>45717</v>
      </c>
      <c r="C308" t="s">
        <v>24</v>
      </c>
      <c r="D308" t="s">
        <v>16</v>
      </c>
      <c r="E308">
        <f>IF(D308="Residential",1,0)</f>
        <v>1</v>
      </c>
      <c r="F308">
        <f t="shared" si="12"/>
        <v>0</v>
      </c>
      <c r="G308">
        <f t="shared" si="13"/>
        <v>0</v>
      </c>
      <c r="H308">
        <f t="shared" si="14"/>
        <v>0</v>
      </c>
      <c r="I308">
        <v>22387.26</v>
      </c>
      <c r="J308">
        <v>6301</v>
      </c>
      <c r="K308">
        <v>0.14599999999999999</v>
      </c>
      <c r="L308">
        <v>14</v>
      </c>
      <c r="M308">
        <v>85.9</v>
      </c>
      <c r="N308">
        <v>1.17</v>
      </c>
      <c r="O308">
        <v>1</v>
      </c>
      <c r="P308">
        <v>3.7</v>
      </c>
      <c r="Q308">
        <v>665342.49</v>
      </c>
      <c r="R308">
        <v>93441.81</v>
      </c>
    </row>
    <row r="309" spans="1:18">
      <c r="A309" s="3" t="s">
        <v>98</v>
      </c>
      <c r="B309" s="2">
        <v>45748</v>
      </c>
      <c r="C309" t="s">
        <v>24</v>
      </c>
      <c r="D309" t="s">
        <v>16</v>
      </c>
      <c r="E309">
        <f>IF(D309="Residential",1,0)</f>
        <v>1</v>
      </c>
      <c r="F309">
        <f t="shared" si="12"/>
        <v>0</v>
      </c>
      <c r="G309">
        <f t="shared" si="13"/>
        <v>0</v>
      </c>
      <c r="H309">
        <f t="shared" si="14"/>
        <v>0</v>
      </c>
      <c r="I309">
        <v>60684.05</v>
      </c>
      <c r="J309">
        <v>6399</v>
      </c>
      <c r="K309">
        <v>7.4999999999999997E-2</v>
      </c>
      <c r="L309">
        <v>16</v>
      </c>
      <c r="M309">
        <v>99</v>
      </c>
      <c r="N309">
        <v>3.82</v>
      </c>
      <c r="O309">
        <v>0</v>
      </c>
      <c r="P309">
        <v>3.5</v>
      </c>
      <c r="Q309">
        <v>651164.18000000005</v>
      </c>
      <c r="R309">
        <v>109466.5</v>
      </c>
    </row>
    <row r="310" spans="1:18">
      <c r="A310" s="3" t="s">
        <v>99</v>
      </c>
      <c r="B310" s="2">
        <v>45658</v>
      </c>
      <c r="C310" t="s">
        <v>24</v>
      </c>
      <c r="D310" t="s">
        <v>18</v>
      </c>
      <c r="E310">
        <f>IF(D310="Residential",1,0)</f>
        <v>0</v>
      </c>
      <c r="F310">
        <f t="shared" si="12"/>
        <v>1</v>
      </c>
      <c r="G310">
        <f t="shared" si="13"/>
        <v>0</v>
      </c>
      <c r="H310">
        <f t="shared" si="14"/>
        <v>0</v>
      </c>
      <c r="I310">
        <v>48465.599999999999</v>
      </c>
      <c r="J310">
        <v>5759</v>
      </c>
      <c r="K310">
        <v>0.154</v>
      </c>
      <c r="L310">
        <v>13</v>
      </c>
      <c r="M310">
        <v>87.5</v>
      </c>
      <c r="N310">
        <v>4.1399999999999997</v>
      </c>
      <c r="O310">
        <v>0</v>
      </c>
      <c r="P310">
        <v>4</v>
      </c>
      <c r="Q310">
        <v>628538.30000000005</v>
      </c>
      <c r="R310">
        <v>112509.15</v>
      </c>
    </row>
    <row r="311" spans="1:18">
      <c r="A311" s="3" t="s">
        <v>99</v>
      </c>
      <c r="B311" s="2">
        <v>45689</v>
      </c>
      <c r="C311" t="s">
        <v>24</v>
      </c>
      <c r="D311" t="s">
        <v>18</v>
      </c>
      <c r="E311">
        <f>IF(D311="Residential",1,0)</f>
        <v>0</v>
      </c>
      <c r="F311">
        <f t="shared" si="12"/>
        <v>1</v>
      </c>
      <c r="G311">
        <f t="shared" si="13"/>
        <v>0</v>
      </c>
      <c r="H311">
        <f t="shared" si="14"/>
        <v>0</v>
      </c>
      <c r="I311">
        <v>23702.38</v>
      </c>
      <c r="J311">
        <v>5285</v>
      </c>
      <c r="K311">
        <v>0.16700000000000001</v>
      </c>
      <c r="L311">
        <v>14</v>
      </c>
      <c r="M311">
        <v>79.7</v>
      </c>
      <c r="N311">
        <v>1.1000000000000001</v>
      </c>
      <c r="O311">
        <v>0</v>
      </c>
      <c r="P311">
        <v>4.3</v>
      </c>
      <c r="Q311">
        <v>536524.84</v>
      </c>
      <c r="R311">
        <v>92752.94</v>
      </c>
    </row>
    <row r="312" spans="1:18">
      <c r="A312" s="3" t="s">
        <v>99</v>
      </c>
      <c r="B312" s="2">
        <v>45717</v>
      </c>
      <c r="C312" t="s">
        <v>24</v>
      </c>
      <c r="D312" t="s">
        <v>18</v>
      </c>
      <c r="E312">
        <f>IF(D312="Residential",1,0)</f>
        <v>0</v>
      </c>
      <c r="F312">
        <f t="shared" si="12"/>
        <v>1</v>
      </c>
      <c r="G312">
        <f t="shared" si="13"/>
        <v>0</v>
      </c>
      <c r="H312">
        <f t="shared" si="14"/>
        <v>0</v>
      </c>
      <c r="I312">
        <v>54322.94</v>
      </c>
      <c r="J312">
        <v>5434</v>
      </c>
      <c r="K312">
        <v>0.2</v>
      </c>
      <c r="L312">
        <v>13</v>
      </c>
      <c r="M312">
        <v>85.7</v>
      </c>
      <c r="N312">
        <v>10.6</v>
      </c>
      <c r="O312">
        <v>0</v>
      </c>
      <c r="P312">
        <v>4.2</v>
      </c>
      <c r="Q312">
        <v>621677.30000000005</v>
      </c>
      <c r="R312">
        <v>105192.52</v>
      </c>
    </row>
    <row r="313" spans="1:18">
      <c r="A313" s="3" t="s">
        <v>99</v>
      </c>
      <c r="B313" s="2">
        <v>45748</v>
      </c>
      <c r="C313" t="s">
        <v>24</v>
      </c>
      <c r="D313" t="s">
        <v>18</v>
      </c>
      <c r="E313">
        <f>IF(D313="Residential",1,0)</f>
        <v>0</v>
      </c>
      <c r="F313">
        <f t="shared" si="12"/>
        <v>1</v>
      </c>
      <c r="G313">
        <f t="shared" si="13"/>
        <v>0</v>
      </c>
      <c r="H313">
        <f t="shared" si="14"/>
        <v>0</v>
      </c>
      <c r="I313">
        <v>86026.58</v>
      </c>
      <c r="J313">
        <v>7479</v>
      </c>
      <c r="K313">
        <v>0.14199999999999999</v>
      </c>
      <c r="L313">
        <v>20</v>
      </c>
      <c r="M313">
        <v>89</v>
      </c>
      <c r="N313">
        <v>0.9</v>
      </c>
      <c r="O313">
        <v>0</v>
      </c>
      <c r="P313">
        <v>0</v>
      </c>
      <c r="Q313">
        <v>771129.07</v>
      </c>
      <c r="R313">
        <v>116851.13</v>
      </c>
    </row>
    <row r="314" spans="1:18">
      <c r="A314" s="3" t="s">
        <v>100</v>
      </c>
      <c r="B314" s="2">
        <v>45658</v>
      </c>
      <c r="C314" t="s">
        <v>20</v>
      </c>
      <c r="D314" t="s">
        <v>16</v>
      </c>
      <c r="E314">
        <f>IF(D314="Residential",1,0)</f>
        <v>1</v>
      </c>
      <c r="F314">
        <f t="shared" si="12"/>
        <v>0</v>
      </c>
      <c r="G314">
        <f t="shared" si="13"/>
        <v>0</v>
      </c>
      <c r="H314">
        <f t="shared" si="14"/>
        <v>0</v>
      </c>
      <c r="I314">
        <v>78967.520000000004</v>
      </c>
      <c r="J314">
        <v>6164</v>
      </c>
      <c r="K314">
        <v>2.1000000000000001E-2</v>
      </c>
      <c r="L314">
        <v>16</v>
      </c>
      <c r="M314">
        <v>85.5</v>
      </c>
      <c r="N314">
        <v>0.2</v>
      </c>
      <c r="O314">
        <v>0</v>
      </c>
      <c r="P314">
        <v>3.4</v>
      </c>
      <c r="Q314">
        <v>702052.47</v>
      </c>
      <c r="R314">
        <v>121732.51</v>
      </c>
    </row>
    <row r="315" spans="1:18">
      <c r="A315" s="3" t="s">
        <v>100</v>
      </c>
      <c r="B315" s="2">
        <v>45689</v>
      </c>
      <c r="C315" t="s">
        <v>20</v>
      </c>
      <c r="D315" t="s">
        <v>16</v>
      </c>
      <c r="E315">
        <f>IF(D315="Residential",1,0)</f>
        <v>1</v>
      </c>
      <c r="F315">
        <f t="shared" si="12"/>
        <v>0</v>
      </c>
      <c r="G315">
        <f t="shared" si="13"/>
        <v>0</v>
      </c>
      <c r="H315">
        <f t="shared" si="14"/>
        <v>0</v>
      </c>
      <c r="I315">
        <v>46767.99</v>
      </c>
      <c r="J315">
        <v>7973</v>
      </c>
      <c r="K315">
        <v>0.183</v>
      </c>
      <c r="L315">
        <v>18</v>
      </c>
      <c r="M315">
        <v>94.8</v>
      </c>
      <c r="N315">
        <v>4.67</v>
      </c>
      <c r="O315">
        <v>0</v>
      </c>
      <c r="P315">
        <v>0</v>
      </c>
      <c r="Q315">
        <v>688368.46</v>
      </c>
      <c r="R315">
        <v>93588.42</v>
      </c>
    </row>
    <row r="316" spans="1:18">
      <c r="A316" s="3" t="s">
        <v>100</v>
      </c>
      <c r="B316" s="2">
        <v>45717</v>
      </c>
      <c r="C316" t="s">
        <v>20</v>
      </c>
      <c r="D316" t="s">
        <v>16</v>
      </c>
      <c r="E316">
        <f>IF(D316="Residential",1,0)</f>
        <v>1</v>
      </c>
      <c r="F316">
        <f t="shared" si="12"/>
        <v>0</v>
      </c>
      <c r="G316">
        <f t="shared" si="13"/>
        <v>0</v>
      </c>
      <c r="H316">
        <f t="shared" si="14"/>
        <v>0</v>
      </c>
      <c r="I316">
        <v>62507.16</v>
      </c>
      <c r="J316">
        <v>6000</v>
      </c>
      <c r="K316">
        <v>9.0999999999999998E-2</v>
      </c>
      <c r="L316">
        <v>14</v>
      </c>
      <c r="M316">
        <v>98.2</v>
      </c>
      <c r="N316">
        <v>4.38</v>
      </c>
      <c r="O316">
        <v>1</v>
      </c>
      <c r="P316">
        <v>3.9</v>
      </c>
      <c r="Q316">
        <v>712375.77</v>
      </c>
      <c r="R316">
        <v>104171.53</v>
      </c>
    </row>
    <row r="317" spans="1:18">
      <c r="A317" s="3" t="s">
        <v>100</v>
      </c>
      <c r="B317" s="2">
        <v>45748</v>
      </c>
      <c r="C317" t="s">
        <v>20</v>
      </c>
      <c r="D317" t="s">
        <v>16</v>
      </c>
      <c r="E317">
        <f>IF(D317="Residential",1,0)</f>
        <v>1</v>
      </c>
      <c r="F317">
        <f t="shared" si="12"/>
        <v>0</v>
      </c>
      <c r="G317">
        <f t="shared" si="13"/>
        <v>0</v>
      </c>
      <c r="H317">
        <f t="shared" si="14"/>
        <v>0</v>
      </c>
      <c r="I317">
        <v>66456.28</v>
      </c>
      <c r="J317">
        <v>9967</v>
      </c>
      <c r="K317">
        <v>0.108</v>
      </c>
      <c r="L317">
        <v>20</v>
      </c>
      <c r="M317">
        <v>94.7</v>
      </c>
      <c r="N317">
        <v>4.4800000000000004</v>
      </c>
      <c r="O317">
        <v>0</v>
      </c>
      <c r="P317">
        <v>4.2</v>
      </c>
      <c r="Q317">
        <v>844710.67</v>
      </c>
      <c r="R317">
        <v>137140.18</v>
      </c>
    </row>
    <row r="318" spans="1:18">
      <c r="A318" s="3" t="s">
        <v>101</v>
      </c>
      <c r="B318" s="2">
        <v>45658</v>
      </c>
      <c r="C318" t="s">
        <v>15</v>
      </c>
      <c r="D318" t="s">
        <v>16</v>
      </c>
      <c r="E318">
        <f>IF(D318="Residential",1,0)</f>
        <v>1</v>
      </c>
      <c r="F318">
        <f t="shared" si="12"/>
        <v>0</v>
      </c>
      <c r="G318">
        <f t="shared" si="13"/>
        <v>0</v>
      </c>
      <c r="H318">
        <f t="shared" si="14"/>
        <v>0</v>
      </c>
      <c r="I318">
        <v>76614.320000000007</v>
      </c>
      <c r="J318">
        <v>5639</v>
      </c>
      <c r="K318">
        <v>0.17399999999999999</v>
      </c>
      <c r="L318">
        <v>15</v>
      </c>
      <c r="M318">
        <v>92.9</v>
      </c>
      <c r="N318">
        <v>1.02</v>
      </c>
      <c r="O318">
        <v>1</v>
      </c>
      <c r="P318">
        <v>4</v>
      </c>
      <c r="Q318">
        <v>620264.19999999995</v>
      </c>
      <c r="R318">
        <v>91365.64</v>
      </c>
    </row>
    <row r="319" spans="1:18">
      <c r="A319" s="3" t="s">
        <v>101</v>
      </c>
      <c r="B319" s="2">
        <v>45689</v>
      </c>
      <c r="C319" t="s">
        <v>15</v>
      </c>
      <c r="D319" t="s">
        <v>16</v>
      </c>
      <c r="E319">
        <f>IF(D319="Residential",1,0)</f>
        <v>1</v>
      </c>
      <c r="F319">
        <f t="shared" si="12"/>
        <v>0</v>
      </c>
      <c r="G319">
        <f t="shared" si="13"/>
        <v>0</v>
      </c>
      <c r="H319">
        <f t="shared" si="14"/>
        <v>0</v>
      </c>
      <c r="I319">
        <v>24088.06</v>
      </c>
      <c r="J319">
        <v>3466</v>
      </c>
      <c r="K319">
        <v>0</v>
      </c>
      <c r="L319">
        <v>11</v>
      </c>
      <c r="M319">
        <v>88</v>
      </c>
      <c r="N319">
        <v>0.2</v>
      </c>
      <c r="O319">
        <v>0</v>
      </c>
      <c r="P319">
        <v>3.8</v>
      </c>
      <c r="Q319">
        <v>536845.42000000004</v>
      </c>
      <c r="R319">
        <v>107473.75</v>
      </c>
    </row>
    <row r="320" spans="1:18">
      <c r="A320" s="3" t="s">
        <v>101</v>
      </c>
      <c r="B320" s="2">
        <v>45717</v>
      </c>
      <c r="C320" t="s">
        <v>15</v>
      </c>
      <c r="D320" t="s">
        <v>16</v>
      </c>
      <c r="E320">
        <f>IF(D320="Residential",1,0)</f>
        <v>1</v>
      </c>
      <c r="F320">
        <f t="shared" si="12"/>
        <v>0</v>
      </c>
      <c r="G320">
        <f t="shared" si="13"/>
        <v>0</v>
      </c>
      <c r="H320">
        <f t="shared" si="14"/>
        <v>0</v>
      </c>
      <c r="I320">
        <v>81902.58</v>
      </c>
      <c r="J320">
        <v>7775</v>
      </c>
      <c r="K320">
        <v>0.215</v>
      </c>
      <c r="L320">
        <v>20</v>
      </c>
      <c r="M320">
        <v>85.2</v>
      </c>
      <c r="N320">
        <v>4.8899999999999997</v>
      </c>
      <c r="O320">
        <v>1</v>
      </c>
      <c r="P320">
        <v>4.2</v>
      </c>
      <c r="Q320">
        <v>726776.22</v>
      </c>
      <c r="R320">
        <v>90804.49</v>
      </c>
    </row>
    <row r="321" spans="1:18">
      <c r="A321" s="3" t="s">
        <v>101</v>
      </c>
      <c r="B321" s="2">
        <v>45748</v>
      </c>
      <c r="C321" t="s">
        <v>15</v>
      </c>
      <c r="D321" t="s">
        <v>16</v>
      </c>
      <c r="E321">
        <f>IF(D321="Residential",1,0)</f>
        <v>1</v>
      </c>
      <c r="F321">
        <f t="shared" si="12"/>
        <v>0</v>
      </c>
      <c r="G321">
        <f t="shared" si="13"/>
        <v>0</v>
      </c>
      <c r="H321">
        <f t="shared" si="14"/>
        <v>0</v>
      </c>
      <c r="I321">
        <v>40553.11</v>
      </c>
      <c r="J321">
        <v>5317</v>
      </c>
      <c r="K321">
        <v>0.16500000000000001</v>
      </c>
      <c r="L321">
        <v>17</v>
      </c>
      <c r="M321">
        <v>84.3</v>
      </c>
      <c r="N321">
        <v>11.82</v>
      </c>
      <c r="O321">
        <v>0</v>
      </c>
      <c r="P321">
        <v>4.0999999999999996</v>
      </c>
      <c r="Q321">
        <v>559660.84</v>
      </c>
      <c r="R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CD7E-3A03-4B35-AF19-0F3963A02A12}">
  <dimension ref="A1:I344"/>
  <sheetViews>
    <sheetView workbookViewId="0">
      <selection sqref="A1:I344"/>
    </sheetView>
  </sheetViews>
  <sheetFormatPr defaultRowHeight="14.5"/>
  <cols>
    <col min="1" max="1" width="15.7265625" customWidth="1"/>
    <col min="2" max="2" width="13.1796875" customWidth="1"/>
  </cols>
  <sheetData>
    <row r="1" spans="1:9">
      <c r="A1" t="s">
        <v>102</v>
      </c>
    </row>
    <row r="2" spans="1:9" ht="15" thickBot="1"/>
    <row r="3" spans="1:9">
      <c r="A3" s="7" t="s">
        <v>103</v>
      </c>
      <c r="B3" s="7"/>
    </row>
    <row r="4" spans="1:9">
      <c r="A4" s="4" t="s">
        <v>104</v>
      </c>
      <c r="B4" s="4">
        <v>0.40895561021322352</v>
      </c>
    </row>
    <row r="5" spans="1:9">
      <c r="A5" s="4" t="s">
        <v>105</v>
      </c>
      <c r="B5" s="4">
        <v>0.16724469112487</v>
      </c>
    </row>
    <row r="6" spans="1:9">
      <c r="A6" s="4" t="s">
        <v>106</v>
      </c>
      <c r="B6" s="4">
        <v>0.16462596373847024</v>
      </c>
    </row>
    <row r="7" spans="1:9">
      <c r="A7" s="4" t="s">
        <v>107</v>
      </c>
      <c r="B7" s="4">
        <v>94846.03383215853</v>
      </c>
    </row>
    <row r="8" spans="1:9" ht="15" thickBot="1">
      <c r="A8" s="5" t="s">
        <v>108</v>
      </c>
      <c r="B8" s="5">
        <v>320</v>
      </c>
    </row>
    <row r="10" spans="1:9" ht="15" thickBot="1">
      <c r="A10" t="s">
        <v>109</v>
      </c>
    </row>
    <row r="11" spans="1:9">
      <c r="A11" s="6"/>
      <c r="B11" s="6" t="s">
        <v>114</v>
      </c>
      <c r="C11" s="6" t="s">
        <v>115</v>
      </c>
      <c r="D11" s="6" t="s">
        <v>116</v>
      </c>
      <c r="E11" s="6" t="s">
        <v>117</v>
      </c>
      <c r="F11" s="6" t="s">
        <v>118</v>
      </c>
    </row>
    <row r="12" spans="1:9">
      <c r="A12" s="4" t="s">
        <v>110</v>
      </c>
      <c r="B12" s="4">
        <v>1</v>
      </c>
      <c r="C12" s="4">
        <v>574513714277.01416</v>
      </c>
      <c r="D12" s="4">
        <v>574513714277.01416</v>
      </c>
      <c r="E12" s="4">
        <v>63.864872683367629</v>
      </c>
      <c r="F12" s="4">
        <v>2.4800615101359619E-14</v>
      </c>
    </row>
    <row r="13" spans="1:9">
      <c r="A13" s="4" t="s">
        <v>111</v>
      </c>
      <c r="B13" s="4">
        <v>318</v>
      </c>
      <c r="C13" s="4">
        <v>2860654902513.7251</v>
      </c>
      <c r="D13" s="4">
        <v>8995770133.6909599</v>
      </c>
      <c r="E13" s="4"/>
      <c r="F13" s="4"/>
    </row>
    <row r="14" spans="1:9" ht="15" thickBot="1">
      <c r="A14" s="5" t="s">
        <v>112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119</v>
      </c>
      <c r="C16" s="6" t="s">
        <v>107</v>
      </c>
      <c r="D16" s="6" t="s">
        <v>120</v>
      </c>
      <c r="E16" s="6" t="s">
        <v>121</v>
      </c>
      <c r="F16" s="6" t="s">
        <v>122</v>
      </c>
      <c r="G16" s="6" t="s">
        <v>123</v>
      </c>
      <c r="H16" s="6" t="s">
        <v>124</v>
      </c>
      <c r="I16" s="6" t="s">
        <v>125</v>
      </c>
    </row>
    <row r="17" spans="1:9">
      <c r="A17" s="4" t="s">
        <v>113</v>
      </c>
      <c r="B17" s="4">
        <v>560777.34544943704</v>
      </c>
      <c r="C17" s="4">
        <v>15906.905953068674</v>
      </c>
      <c r="D17" s="4">
        <v>35.253703460870398</v>
      </c>
      <c r="E17" s="4">
        <v>6.952876876284135E-112</v>
      </c>
      <c r="F17" s="4">
        <v>529481.27234763221</v>
      </c>
      <c r="G17" s="4">
        <v>592073.41855124186</v>
      </c>
      <c r="H17" s="4">
        <v>529481.27234763221</v>
      </c>
      <c r="I17" s="4">
        <v>592073.41855124186</v>
      </c>
    </row>
    <row r="18" spans="1:9" ht="15" thickBot="1">
      <c r="A18" s="5" t="s">
        <v>4</v>
      </c>
      <c r="B18" s="5">
        <v>2.1295753275898281</v>
      </c>
      <c r="C18" s="5">
        <v>0.26647838106932348</v>
      </c>
      <c r="D18" s="5">
        <v>7.991550080138869</v>
      </c>
      <c r="E18" s="5">
        <v>2.4800615101360068E-14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  <row r="22" spans="1:9">
      <c r="A22" t="s">
        <v>126</v>
      </c>
    </row>
    <row r="23" spans="1:9" ht="15" thickBot="1"/>
    <row r="24" spans="1:9">
      <c r="A24" s="6" t="s">
        <v>127</v>
      </c>
      <c r="B24" s="6" t="s">
        <v>128</v>
      </c>
      <c r="C24" s="6" t="s">
        <v>129</v>
      </c>
    </row>
    <row r="25" spans="1:9">
      <c r="A25" s="4">
        <v>1</v>
      </c>
      <c r="B25" s="4">
        <v>710676.25743644347</v>
      </c>
      <c r="C25" s="4">
        <v>-51843.637436443474</v>
      </c>
    </row>
    <row r="26" spans="1:9">
      <c r="A26" s="4">
        <v>2</v>
      </c>
      <c r="B26" s="4">
        <v>654112.13865375798</v>
      </c>
      <c r="C26" s="4">
        <v>-19676.138653757982</v>
      </c>
    </row>
    <row r="27" spans="1:9">
      <c r="A27" s="4">
        <v>3</v>
      </c>
      <c r="B27" s="4">
        <v>688385.22583544278</v>
      </c>
      <c r="C27" s="4">
        <v>-9663.16583544272</v>
      </c>
    </row>
    <row r="28" spans="1:9">
      <c r="A28" s="4">
        <v>4</v>
      </c>
      <c r="B28" s="4">
        <v>681857.82190734067</v>
      </c>
      <c r="C28" s="4">
        <v>-22937.521907340619</v>
      </c>
    </row>
    <row r="29" spans="1:9">
      <c r="A29" s="4">
        <v>5</v>
      </c>
      <c r="B29" s="4">
        <v>663875.7091369254</v>
      </c>
      <c r="C29" s="4">
        <v>77465.730863074539</v>
      </c>
    </row>
    <row r="30" spans="1:9">
      <c r="A30" s="4">
        <v>6</v>
      </c>
      <c r="B30" s="4">
        <v>698797.69921668014</v>
      </c>
      <c r="C30" s="4">
        <v>63037.640783319832</v>
      </c>
    </row>
    <row r="31" spans="1:9">
      <c r="A31" s="4">
        <v>7</v>
      </c>
      <c r="B31" s="4">
        <v>659192.36837224313</v>
      </c>
      <c r="C31" s="4">
        <v>147423.17162775691</v>
      </c>
    </row>
    <row r="32" spans="1:9">
      <c r="A32" s="4">
        <v>8</v>
      </c>
      <c r="B32" s="4">
        <v>705904.752253199</v>
      </c>
      <c r="C32" s="4">
        <v>144259.50774680101</v>
      </c>
    </row>
    <row r="33" spans="1:3">
      <c r="A33" s="4">
        <v>9</v>
      </c>
      <c r="B33" s="4">
        <v>713763.60926761688</v>
      </c>
      <c r="C33" s="4">
        <v>216818.09073238308</v>
      </c>
    </row>
    <row r="34" spans="1:3">
      <c r="A34" s="4">
        <v>10</v>
      </c>
      <c r="B34" s="4">
        <v>705872.63825725892</v>
      </c>
      <c r="C34" s="4">
        <v>73138.301742741023</v>
      </c>
    </row>
    <row r="35" spans="1:3">
      <c r="A35" s="4">
        <v>11</v>
      </c>
      <c r="B35" s="4">
        <v>633790.28276667313</v>
      </c>
      <c r="C35" s="4">
        <v>89270.477233326877</v>
      </c>
    </row>
    <row r="36" spans="1:3">
      <c r="A36" s="4">
        <v>12</v>
      </c>
      <c r="B36" s="4">
        <v>705545.62066995422</v>
      </c>
      <c r="C36" s="4">
        <v>205246.31933004572</v>
      </c>
    </row>
    <row r="37" spans="1:3">
      <c r="A37" s="4">
        <v>13</v>
      </c>
      <c r="B37" s="4">
        <v>713741.03576914431</v>
      </c>
      <c r="C37" s="4">
        <v>208427.56423085567</v>
      </c>
    </row>
    <row r="38" spans="1:3">
      <c r="A38" s="4">
        <v>14</v>
      </c>
      <c r="B38" s="4">
        <v>679430.51065320056</v>
      </c>
      <c r="C38" s="4">
        <v>47175.769346799469</v>
      </c>
    </row>
    <row r="39" spans="1:3">
      <c r="A39" s="4">
        <v>15</v>
      </c>
      <c r="B39" s="4">
        <v>688359.15983343311</v>
      </c>
      <c r="C39" s="4">
        <v>58141.930166566861</v>
      </c>
    </row>
    <row r="40" spans="1:3">
      <c r="A40" s="4">
        <v>16</v>
      </c>
      <c r="B40" s="4">
        <v>721146.52749207162</v>
      </c>
      <c r="C40" s="4">
        <v>112870.4925079284</v>
      </c>
    </row>
    <row r="41" spans="1:3">
      <c r="A41" s="4">
        <v>17</v>
      </c>
      <c r="B41" s="4">
        <v>664709.60824370314</v>
      </c>
      <c r="C41" s="4">
        <v>1442.911756296875</v>
      </c>
    </row>
    <row r="42" spans="1:3">
      <c r="A42" s="4">
        <v>18</v>
      </c>
      <c r="B42" s="4">
        <v>686673.36670835968</v>
      </c>
      <c r="C42" s="4">
        <v>-113518.17670835974</v>
      </c>
    </row>
    <row r="43" spans="1:3">
      <c r="A43" s="4">
        <v>19</v>
      </c>
      <c r="B43" s="4">
        <v>728654.1536477101</v>
      </c>
      <c r="C43" s="4">
        <v>-62080.95364771015</v>
      </c>
    </row>
    <row r="44" spans="1:3">
      <c r="A44" s="4">
        <v>20</v>
      </c>
      <c r="B44" s="4">
        <v>649031.05710514181</v>
      </c>
      <c r="C44" s="4">
        <v>-57411.107105141855</v>
      </c>
    </row>
    <row r="45" spans="1:3">
      <c r="A45" s="4">
        <v>21</v>
      </c>
      <c r="B45" s="4">
        <v>625423.33037484554</v>
      </c>
      <c r="C45" s="4">
        <v>-209701.51037484553</v>
      </c>
    </row>
    <row r="46" spans="1:3">
      <c r="A46" s="4">
        <v>22</v>
      </c>
      <c r="B46" s="4">
        <v>632158.32530588121</v>
      </c>
      <c r="C46" s="4">
        <v>-140253.19530588121</v>
      </c>
    </row>
    <row r="47" spans="1:3">
      <c r="A47" s="4">
        <v>23</v>
      </c>
      <c r="B47" s="4">
        <v>650788.89376354753</v>
      </c>
      <c r="C47" s="4">
        <v>-94859.493763547507</v>
      </c>
    </row>
    <row r="48" spans="1:3">
      <c r="A48" s="4">
        <v>24</v>
      </c>
      <c r="B48" s="4">
        <v>692939.7059970526</v>
      </c>
      <c r="C48" s="4">
        <v>-127128.71599705261</v>
      </c>
    </row>
    <row r="49" spans="1:3">
      <c r="A49" s="4">
        <v>25</v>
      </c>
      <c r="B49" s="4">
        <v>683646.79295703582</v>
      </c>
      <c r="C49" s="4">
        <v>128124.34704296419</v>
      </c>
    </row>
    <row r="50" spans="1:3">
      <c r="A50" s="4">
        <v>26</v>
      </c>
      <c r="B50" s="4">
        <v>927949.18293500762</v>
      </c>
      <c r="C50" s="4">
        <v>-127497.24293500767</v>
      </c>
    </row>
    <row r="51" spans="1:3">
      <c r="A51" s="4">
        <v>27</v>
      </c>
      <c r="B51" s="4">
        <v>678480.08118449722</v>
      </c>
      <c r="C51" s="4">
        <v>105192.73881550273</v>
      </c>
    </row>
    <row r="52" spans="1:3">
      <c r="A52" s="4">
        <v>28</v>
      </c>
      <c r="B52" s="4">
        <v>673038.12180086761</v>
      </c>
      <c r="C52" s="4">
        <v>28603.848199132364</v>
      </c>
    </row>
    <row r="53" spans="1:3">
      <c r="A53" s="4">
        <v>29</v>
      </c>
      <c r="B53" s="4">
        <v>706867.53325880237</v>
      </c>
      <c r="C53" s="4">
        <v>-195023.1232588024</v>
      </c>
    </row>
    <row r="54" spans="1:3">
      <c r="A54" s="4">
        <v>30</v>
      </c>
      <c r="B54" s="4">
        <v>695316.95093524118</v>
      </c>
      <c r="C54" s="4">
        <v>-157933.16093524115</v>
      </c>
    </row>
    <row r="55" spans="1:3">
      <c r="A55" s="4">
        <v>31</v>
      </c>
      <c r="B55" s="4">
        <v>656544.51829717786</v>
      </c>
      <c r="C55" s="4">
        <v>-156371.49829717784</v>
      </c>
    </row>
    <row r="56" spans="1:3">
      <c r="A56" s="4">
        <v>32</v>
      </c>
      <c r="B56" s="4">
        <v>709456.52187181311</v>
      </c>
      <c r="C56" s="4">
        <v>-281539.1418718131</v>
      </c>
    </row>
    <row r="57" spans="1:3">
      <c r="A57" s="4">
        <v>33</v>
      </c>
      <c r="B57" s="4">
        <v>677047.53715738084</v>
      </c>
      <c r="C57" s="4">
        <v>-35182.507157380809</v>
      </c>
    </row>
    <row r="58" spans="1:3">
      <c r="A58" s="4">
        <v>34</v>
      </c>
      <c r="B58" s="4">
        <v>717880.18485461432</v>
      </c>
      <c r="C58" s="4">
        <v>81597.575145385694</v>
      </c>
    </row>
    <row r="59" spans="1:3">
      <c r="A59" s="4">
        <v>35</v>
      </c>
      <c r="B59" s="4">
        <v>719247.30832766718</v>
      </c>
      <c r="C59" s="4">
        <v>79704.86167233286</v>
      </c>
    </row>
    <row r="60" spans="1:3">
      <c r="A60" s="4">
        <v>36</v>
      </c>
      <c r="B60" s="4">
        <v>672545.48714033619</v>
      </c>
      <c r="C60" s="4">
        <v>128434.29285966384</v>
      </c>
    </row>
    <row r="61" spans="1:3">
      <c r="A61" s="4">
        <v>37</v>
      </c>
      <c r="B61" s="4">
        <v>721070.20351233077</v>
      </c>
      <c r="C61" s="4">
        <v>99523.726487669279</v>
      </c>
    </row>
    <row r="62" spans="1:3">
      <c r="A62" s="4">
        <v>38</v>
      </c>
      <c r="B62" s="4">
        <v>691204.05951356038</v>
      </c>
      <c r="C62" s="4">
        <v>27126.470486439648</v>
      </c>
    </row>
    <row r="63" spans="1:3">
      <c r="A63" s="4">
        <v>39</v>
      </c>
      <c r="B63" s="4">
        <v>759639.77280468796</v>
      </c>
      <c r="C63" s="4">
        <v>-23006.372804687941</v>
      </c>
    </row>
    <row r="64" spans="1:3">
      <c r="A64" s="4">
        <v>40</v>
      </c>
      <c r="B64" s="4">
        <v>699225.70126601914</v>
      </c>
      <c r="C64" s="4">
        <v>129398.14873398084</v>
      </c>
    </row>
    <row r="65" spans="1:3">
      <c r="A65" s="4">
        <v>41</v>
      </c>
      <c r="B65" s="4">
        <v>646946.22415518458</v>
      </c>
      <c r="C65" s="4">
        <v>-54750.374155184603</v>
      </c>
    </row>
    <row r="66" spans="1:3">
      <c r="A66" s="4">
        <v>42</v>
      </c>
      <c r="B66" s="4">
        <v>659001.622310151</v>
      </c>
      <c r="C66" s="4">
        <v>-126357.16231015103</v>
      </c>
    </row>
    <row r="67" spans="1:3">
      <c r="A67" s="4">
        <v>43</v>
      </c>
      <c r="B67" s="4">
        <v>705753.59499644663</v>
      </c>
      <c r="C67" s="4">
        <v>-48324.414996446576</v>
      </c>
    </row>
    <row r="68" spans="1:3">
      <c r="A68" s="4">
        <v>44</v>
      </c>
      <c r="B68" s="4">
        <v>698948.74999466608</v>
      </c>
      <c r="C68" s="4">
        <v>-93770.749994666083</v>
      </c>
    </row>
    <row r="69" spans="1:3">
      <c r="A69" s="4">
        <v>45</v>
      </c>
      <c r="B69" s="4">
        <v>856480.61364533973</v>
      </c>
      <c r="C69" s="4">
        <v>-261013.01364533976</v>
      </c>
    </row>
    <row r="70" spans="1:3">
      <c r="A70" s="4">
        <v>46</v>
      </c>
      <c r="B70" s="4">
        <v>696282.67075479659</v>
      </c>
      <c r="C70" s="4">
        <v>-96679.270754796569</v>
      </c>
    </row>
    <row r="71" spans="1:3">
      <c r="A71" s="4">
        <v>47</v>
      </c>
      <c r="B71" s="4">
        <v>667349.06779197778</v>
      </c>
      <c r="C71" s="4">
        <v>-52548.977791977813</v>
      </c>
    </row>
    <row r="72" spans="1:3">
      <c r="A72" s="4">
        <v>48</v>
      </c>
      <c r="B72" s="4">
        <v>650419.3485569508</v>
      </c>
      <c r="C72" s="4">
        <v>-65053.618556950823</v>
      </c>
    </row>
    <row r="73" spans="1:3">
      <c r="A73" s="4">
        <v>49</v>
      </c>
      <c r="B73" s="4">
        <v>660066.77200175158</v>
      </c>
      <c r="C73" s="4">
        <v>-37255.032001751591</v>
      </c>
    </row>
    <row r="74" spans="1:3">
      <c r="A74" s="4">
        <v>50</v>
      </c>
      <c r="B74" s="4">
        <v>666639.15256077237</v>
      </c>
      <c r="C74" s="4">
        <v>-63341.582560772425</v>
      </c>
    </row>
    <row r="75" spans="1:3">
      <c r="A75" s="4">
        <v>51</v>
      </c>
      <c r="B75" s="4">
        <v>663609.95943179552</v>
      </c>
      <c r="C75" s="4">
        <v>-37937.099431795534</v>
      </c>
    </row>
    <row r="76" spans="1:3">
      <c r="A76" s="4">
        <v>52</v>
      </c>
      <c r="B76" s="4">
        <v>699865.21273689438</v>
      </c>
      <c r="C76" s="4">
        <v>73949.927263105637</v>
      </c>
    </row>
    <row r="77" spans="1:3">
      <c r="A77" s="4">
        <v>53</v>
      </c>
      <c r="B77" s="4">
        <v>673677.76104626246</v>
      </c>
      <c r="C77" s="4">
        <v>-210143.51104626246</v>
      </c>
    </row>
    <row r="78" spans="1:3">
      <c r="A78" s="4">
        <v>54</v>
      </c>
      <c r="B78" s="4">
        <v>773466.57301289681</v>
      </c>
      <c r="C78" s="4">
        <v>-26788.823012896813</v>
      </c>
    </row>
    <row r="79" spans="1:3">
      <c r="A79" s="4">
        <v>55</v>
      </c>
      <c r="B79" s="4">
        <v>733689.27896075696</v>
      </c>
      <c r="C79" s="4">
        <v>-12836.778960756958</v>
      </c>
    </row>
    <row r="80" spans="1:3">
      <c r="A80" s="4">
        <v>56</v>
      </c>
      <c r="B80" s="4">
        <v>619997.85390425147</v>
      </c>
      <c r="C80" s="4">
        <v>-132532.9439042515</v>
      </c>
    </row>
    <row r="81" spans="1:3">
      <c r="A81" s="4">
        <v>57</v>
      </c>
      <c r="B81" s="4">
        <v>602016.69944273378</v>
      </c>
      <c r="C81" s="4">
        <v>-83967.439442733768</v>
      </c>
    </row>
    <row r="82" spans="1:3">
      <c r="A82" s="4">
        <v>58</v>
      </c>
      <c r="B82" s="4">
        <v>687286.21589613357</v>
      </c>
      <c r="C82" s="4">
        <v>-186987.73589613358</v>
      </c>
    </row>
    <row r="83" spans="1:3">
      <c r="A83" s="4">
        <v>59</v>
      </c>
      <c r="B83" s="4">
        <v>814006.16984930076</v>
      </c>
      <c r="C83" s="4">
        <v>-196715.01984930073</v>
      </c>
    </row>
    <row r="84" spans="1:3">
      <c r="A84" s="4">
        <v>60</v>
      </c>
      <c r="B84" s="4">
        <v>673542.87374501291</v>
      </c>
      <c r="C84" s="4">
        <v>-119786.44374501286</v>
      </c>
    </row>
    <row r="85" spans="1:3">
      <c r="A85" s="4">
        <v>61</v>
      </c>
      <c r="B85" s="4">
        <v>720299.53149702935</v>
      </c>
      <c r="C85" s="4">
        <v>29260.178502970608</v>
      </c>
    </row>
    <row r="86" spans="1:3">
      <c r="A86" s="4">
        <v>62</v>
      </c>
      <c r="B86" s="4">
        <v>640177.83748301235</v>
      </c>
      <c r="C86" s="4">
        <v>-24211.357483012369</v>
      </c>
    </row>
    <row r="87" spans="1:3">
      <c r="A87" s="4">
        <v>63</v>
      </c>
      <c r="B87" s="4">
        <v>667986.96078560397</v>
      </c>
      <c r="C87" s="4">
        <v>-95975.760785604012</v>
      </c>
    </row>
    <row r="88" spans="1:3">
      <c r="A88" s="4">
        <v>64</v>
      </c>
      <c r="B88" s="4">
        <v>720398.53545400896</v>
      </c>
      <c r="C88" s="4">
        <v>41461.654545990983</v>
      </c>
    </row>
    <row r="89" spans="1:3">
      <c r="A89" s="4">
        <v>65</v>
      </c>
      <c r="B89" s="4">
        <v>709933.46156218019</v>
      </c>
      <c r="C89" s="4">
        <v>74569.218437819858</v>
      </c>
    </row>
    <row r="90" spans="1:3">
      <c r="A90" s="4">
        <v>66</v>
      </c>
      <c r="B90" s="4">
        <v>669702.33371197758</v>
      </c>
      <c r="C90" s="4">
        <v>47439.216288022464</v>
      </c>
    </row>
    <row r="91" spans="1:3">
      <c r="A91" s="4">
        <v>67</v>
      </c>
      <c r="B91" s="4">
        <v>729750.84234991227</v>
      </c>
      <c r="C91" s="4">
        <v>-44371.762349912315</v>
      </c>
    </row>
    <row r="92" spans="1:3">
      <c r="A92" s="4">
        <v>68</v>
      </c>
      <c r="B92" s="4">
        <v>650258.69339423743</v>
      </c>
      <c r="C92" s="4">
        <v>90237.956605762593</v>
      </c>
    </row>
    <row r="93" spans="1:3">
      <c r="A93" s="4">
        <v>69</v>
      </c>
      <c r="B93" s="4">
        <v>711843.54156075534</v>
      </c>
      <c r="C93" s="4">
        <v>-49916.40156075533</v>
      </c>
    </row>
    <row r="94" spans="1:3">
      <c r="A94" s="4">
        <v>70</v>
      </c>
      <c r="B94" s="4">
        <v>639174.36029289884</v>
      </c>
      <c r="C94" s="4">
        <v>-160123.86029289884</v>
      </c>
    </row>
    <row r="95" spans="1:3">
      <c r="A95" s="4">
        <v>71</v>
      </c>
      <c r="B95" s="4">
        <v>689769.5988686491</v>
      </c>
      <c r="C95" s="4">
        <v>-84745.728868649108</v>
      </c>
    </row>
    <row r="96" spans="1:3">
      <c r="A96" s="4">
        <v>72</v>
      </c>
      <c r="B96" s="4">
        <v>678076.82480046479</v>
      </c>
      <c r="C96" s="4">
        <v>-3302.7348004648229</v>
      </c>
    </row>
    <row r="97" spans="1:3">
      <c r="A97" s="4">
        <v>73</v>
      </c>
      <c r="B97" s="4">
        <v>659166.83476406534</v>
      </c>
      <c r="C97" s="4">
        <v>-43097.424764065305</v>
      </c>
    </row>
    <row r="98" spans="1:3">
      <c r="A98" s="4">
        <v>74</v>
      </c>
      <c r="B98" s="4">
        <v>675269.53342062281</v>
      </c>
      <c r="C98" s="4">
        <v>-44439.59342062287</v>
      </c>
    </row>
    <row r="99" spans="1:3">
      <c r="A99" s="4">
        <v>75</v>
      </c>
      <c r="B99" s="4">
        <v>710155.93829665345</v>
      </c>
      <c r="C99" s="4">
        <v>77931.741703346604</v>
      </c>
    </row>
    <row r="100" spans="1:3">
      <c r="A100" s="4">
        <v>76</v>
      </c>
      <c r="B100" s="4">
        <v>685889.10800246825</v>
      </c>
      <c r="C100" s="4">
        <v>-5048.7480024682591</v>
      </c>
    </row>
    <row r="101" spans="1:3">
      <c r="A101" s="4">
        <v>77</v>
      </c>
      <c r="B101" s="4">
        <v>682106.02391177125</v>
      </c>
      <c r="C101" s="4">
        <v>-38448.553911771276</v>
      </c>
    </row>
    <row r="102" spans="1:3">
      <c r="A102" s="4">
        <v>78</v>
      </c>
      <c r="B102" s="4">
        <v>677633.14907671465</v>
      </c>
      <c r="C102" s="4">
        <v>13479.450923285331</v>
      </c>
    </row>
    <row r="103" spans="1:3">
      <c r="A103" s="4">
        <v>79</v>
      </c>
      <c r="B103" s="4">
        <v>732341.91794674413</v>
      </c>
      <c r="C103" s="4">
        <v>44580.252053255914</v>
      </c>
    </row>
    <row r="104" spans="1:3">
      <c r="A104" s="4">
        <v>80</v>
      </c>
      <c r="B104" s="4">
        <v>726884.00804391084</v>
      </c>
      <c r="C104" s="4">
        <v>-90322.668043910875</v>
      </c>
    </row>
    <row r="105" spans="1:3">
      <c r="A105" s="4">
        <v>81</v>
      </c>
      <c r="B105" s="4">
        <v>690428.04226418666</v>
      </c>
      <c r="C105" s="4">
        <v>-69058.462264186703</v>
      </c>
    </row>
    <row r="106" spans="1:3">
      <c r="A106" s="4">
        <v>82</v>
      </c>
      <c r="B106" s="4">
        <v>689890.04764917761</v>
      </c>
      <c r="C106" s="4">
        <v>-7682.0376491775969</v>
      </c>
    </row>
    <row r="107" spans="1:3">
      <c r="A107" s="4">
        <v>83</v>
      </c>
      <c r="B107" s="4">
        <v>715663.78674091864</v>
      </c>
      <c r="C107" s="4">
        <v>11578.073259081342</v>
      </c>
    </row>
    <row r="108" spans="1:3">
      <c r="A108" s="4">
        <v>84</v>
      </c>
      <c r="B108" s="4">
        <v>638455.11752175866</v>
      </c>
      <c r="C108" s="4">
        <v>-69354.337521758629</v>
      </c>
    </row>
    <row r="109" spans="1:3">
      <c r="A109" s="4">
        <v>85</v>
      </c>
      <c r="B109" s="4">
        <v>678730.49794726842</v>
      </c>
      <c r="C109" s="4">
        <v>-104294.20794726838</v>
      </c>
    </row>
    <row r="110" spans="1:3">
      <c r="A110" s="4">
        <v>86</v>
      </c>
      <c r="B110" s="4">
        <v>749125.01592046651</v>
      </c>
      <c r="C110" s="4">
        <v>-137358.29592046654</v>
      </c>
    </row>
    <row r="111" spans="1:3">
      <c r="A111" s="4">
        <v>87</v>
      </c>
      <c r="B111" s="4">
        <v>727378.09081566497</v>
      </c>
      <c r="C111" s="4">
        <v>-112781.77081566502</v>
      </c>
    </row>
    <row r="112" spans="1:3">
      <c r="A112" s="4">
        <v>88</v>
      </c>
      <c r="B112" s="4">
        <v>601231.43983643828</v>
      </c>
      <c r="C112" s="4">
        <v>-150519.5198364383</v>
      </c>
    </row>
    <row r="113" spans="1:3">
      <c r="A113" s="4">
        <v>89</v>
      </c>
      <c r="B113" s="4">
        <v>668359.10407410027</v>
      </c>
      <c r="C113" s="4">
        <v>42854.355925899697</v>
      </c>
    </row>
    <row r="114" spans="1:3">
      <c r="A114" s="4">
        <v>90</v>
      </c>
      <c r="B114" s="4">
        <v>862198.05489334627</v>
      </c>
      <c r="C114" s="4">
        <v>-235026.15489334625</v>
      </c>
    </row>
    <row r="115" spans="1:3">
      <c r="A115" s="4">
        <v>91</v>
      </c>
      <c r="B115" s="4">
        <v>735649.95766911563</v>
      </c>
      <c r="C115" s="4">
        <v>4202.6223308843328</v>
      </c>
    </row>
    <row r="116" spans="1:3">
      <c r="A116" s="4">
        <v>92</v>
      </c>
      <c r="B116" s="4">
        <v>627236.08878094982</v>
      </c>
      <c r="C116" s="4">
        <v>-40928.868780949851</v>
      </c>
    </row>
    <row r="117" spans="1:3">
      <c r="A117" s="4">
        <v>93</v>
      </c>
      <c r="B117" s="4">
        <v>643759.63411374553</v>
      </c>
      <c r="C117" s="4">
        <v>-57822.15411374555</v>
      </c>
    </row>
    <row r="118" spans="1:3">
      <c r="A118" s="4">
        <v>94</v>
      </c>
      <c r="B118" s="4">
        <v>704394.41483936575</v>
      </c>
      <c r="C118" s="4">
        <v>49079.135160634294</v>
      </c>
    </row>
    <row r="119" spans="1:3">
      <c r="A119" s="4">
        <v>95</v>
      </c>
      <c r="B119" s="4">
        <v>744819.24886136584</v>
      </c>
      <c r="C119" s="4">
        <v>93431.071138634114</v>
      </c>
    </row>
    <row r="120" spans="1:3">
      <c r="A120" s="4">
        <v>96</v>
      </c>
      <c r="B120" s="4">
        <v>581082.10084664135</v>
      </c>
      <c r="C120" s="4">
        <v>26816.019153358648</v>
      </c>
    </row>
    <row r="121" spans="1:3">
      <c r="A121" s="4">
        <v>97</v>
      </c>
      <c r="B121" s="4">
        <v>690962.69344593131</v>
      </c>
      <c r="C121" s="4">
        <v>150.92655406869017</v>
      </c>
    </row>
    <row r="122" spans="1:3">
      <c r="A122" s="4">
        <v>98</v>
      </c>
      <c r="B122" s="4">
        <v>728671.76523566921</v>
      </c>
      <c r="C122" s="4">
        <v>6837.6347643308109</v>
      </c>
    </row>
    <row r="123" spans="1:3">
      <c r="A123" s="4">
        <v>99</v>
      </c>
      <c r="B123" s="4">
        <v>643304.35220446019</v>
      </c>
      <c r="C123" s="4">
        <v>-37529.022204460227</v>
      </c>
    </row>
    <row r="124" spans="1:3">
      <c r="A124" s="4">
        <v>100</v>
      </c>
      <c r="B124" s="4">
        <v>678119.2885324969</v>
      </c>
      <c r="C124" s="4">
        <v>-2941.6085324968444</v>
      </c>
    </row>
    <row r="125" spans="1:3">
      <c r="A125" s="4">
        <v>101</v>
      </c>
      <c r="B125" s="4">
        <v>673825.3406164645</v>
      </c>
      <c r="C125" s="4">
        <v>-38643.990616464522</v>
      </c>
    </row>
    <row r="126" spans="1:3">
      <c r="A126" s="4">
        <v>102</v>
      </c>
      <c r="B126" s="4">
        <v>695156.93464512611</v>
      </c>
      <c r="C126" s="4">
        <v>-108529.99464512616</v>
      </c>
    </row>
    <row r="127" spans="1:3">
      <c r="A127" s="4">
        <v>103</v>
      </c>
      <c r="B127" s="4">
        <v>752618.8610901701</v>
      </c>
      <c r="C127" s="4">
        <v>-12516.221090170089</v>
      </c>
    </row>
    <row r="128" spans="1:3">
      <c r="A128" s="4">
        <v>104</v>
      </c>
      <c r="B128" s="4">
        <v>629491.58589766012</v>
      </c>
      <c r="C128" s="4">
        <v>-3977.5458976600785</v>
      </c>
    </row>
    <row r="129" spans="1:3">
      <c r="A129" s="4">
        <v>105</v>
      </c>
      <c r="B129" s="4">
        <v>684120.36791838519</v>
      </c>
      <c r="C129" s="4">
        <v>43106.832081614761</v>
      </c>
    </row>
    <row r="130" spans="1:3">
      <c r="A130" s="4">
        <v>106</v>
      </c>
      <c r="B130" s="4">
        <v>719812.6466898825</v>
      </c>
      <c r="C130" s="4">
        <v>63985.243310117512</v>
      </c>
    </row>
    <row r="131" spans="1:3">
      <c r="A131" s="4">
        <v>107</v>
      </c>
      <c r="B131" s="4">
        <v>697696.75136382284</v>
      </c>
      <c r="C131" s="4">
        <v>97457.088636177126</v>
      </c>
    </row>
    <row r="132" spans="1:3">
      <c r="A132" s="4">
        <v>108</v>
      </c>
      <c r="B132" s="4">
        <v>626883.68665574025</v>
      </c>
      <c r="C132" s="4">
        <v>38711.25334425969</v>
      </c>
    </row>
    <row r="133" spans="1:3">
      <c r="A133" s="4">
        <v>109</v>
      </c>
      <c r="B133" s="4">
        <v>721059.87507199205</v>
      </c>
      <c r="C133" s="4">
        <v>-11581.485071992036</v>
      </c>
    </row>
    <row r="134" spans="1:3">
      <c r="A134" s="4">
        <v>110</v>
      </c>
      <c r="B134" s="4">
        <v>708594.78921550396</v>
      </c>
      <c r="C134" s="4">
        <v>-44432.299215503968</v>
      </c>
    </row>
    <row r="135" spans="1:3">
      <c r="A135" s="4">
        <v>111</v>
      </c>
      <c r="B135" s="4">
        <v>669505.26281116251</v>
      </c>
      <c r="C135" s="4">
        <v>-36011.052811162546</v>
      </c>
    </row>
    <row r="136" spans="1:3">
      <c r="A136" s="4">
        <v>112</v>
      </c>
      <c r="B136" s="4">
        <v>673129.50187817449</v>
      </c>
      <c r="C136" s="4">
        <v>40481.658121825545</v>
      </c>
    </row>
    <row r="137" spans="1:3">
      <c r="A137" s="4">
        <v>113</v>
      </c>
      <c r="B137" s="4">
        <v>691588.72470498295</v>
      </c>
      <c r="C137" s="4">
        <v>86809.245295017026</v>
      </c>
    </row>
    <row r="138" spans="1:3">
      <c r="A138" s="4">
        <v>114</v>
      </c>
      <c r="B138" s="4">
        <v>731518.90096989041</v>
      </c>
      <c r="C138" s="4">
        <v>141861.11903010961</v>
      </c>
    </row>
    <row r="139" spans="1:3">
      <c r="A139" s="4">
        <v>115</v>
      </c>
      <c r="B139" s="4">
        <v>632342.10765665222</v>
      </c>
      <c r="C139" s="4">
        <v>64945.792343347799</v>
      </c>
    </row>
    <row r="140" spans="1:3">
      <c r="A140" s="4">
        <v>116</v>
      </c>
      <c r="B140" s="4">
        <v>616126.15818417352</v>
      </c>
      <c r="C140" s="4">
        <v>101948.63181582652</v>
      </c>
    </row>
    <row r="141" spans="1:3">
      <c r="A141" s="4">
        <v>117</v>
      </c>
      <c r="B141" s="4">
        <v>653808.1417757445</v>
      </c>
      <c r="C141" s="4">
        <v>61134.28822425555</v>
      </c>
    </row>
    <row r="142" spans="1:3">
      <c r="A142" s="4">
        <v>118</v>
      </c>
      <c r="B142" s="4">
        <v>682929.80753574288</v>
      </c>
      <c r="C142" s="4">
        <v>137589.23246425716</v>
      </c>
    </row>
    <row r="143" spans="1:3">
      <c r="A143" s="4">
        <v>119</v>
      </c>
      <c r="B143" s="4">
        <v>651104.2838695636</v>
      </c>
      <c r="C143" s="4">
        <v>33113.036130436347</v>
      </c>
    </row>
    <row r="144" spans="1:3">
      <c r="A144" s="4">
        <v>120</v>
      </c>
      <c r="B144" s="4">
        <v>677837.92904021579</v>
      </c>
      <c r="C144" s="4">
        <v>57642.260959784151</v>
      </c>
    </row>
    <row r="145" spans="1:3">
      <c r="A145" s="4">
        <v>121</v>
      </c>
      <c r="B145" s="4">
        <v>654257.46087411267</v>
      </c>
      <c r="C145" s="4">
        <v>-144772.65087411267</v>
      </c>
    </row>
    <row r="146" spans="1:3">
      <c r="A146" s="4">
        <v>122</v>
      </c>
      <c r="B146" s="4">
        <v>737626.1609816124</v>
      </c>
      <c r="C146" s="4">
        <v>-83309.070981612429</v>
      </c>
    </row>
    <row r="147" spans="1:3">
      <c r="A147" s="4">
        <v>123</v>
      </c>
      <c r="B147" s="4">
        <v>663840.54984826688</v>
      </c>
      <c r="C147" s="4">
        <v>-106353.28984826687</v>
      </c>
    </row>
    <row r="148" spans="1:3">
      <c r="A148" s="4">
        <v>124</v>
      </c>
      <c r="B148" s="4">
        <v>601374.46211543912</v>
      </c>
      <c r="C148" s="4">
        <v>-160099.04211543914</v>
      </c>
    </row>
    <row r="149" spans="1:3">
      <c r="A149" s="4">
        <v>125</v>
      </c>
      <c r="B149" s="4">
        <v>691833.9878954615</v>
      </c>
      <c r="C149" s="4">
        <v>222710.18210453854</v>
      </c>
    </row>
    <row r="150" spans="1:3">
      <c r="A150" s="4">
        <v>126</v>
      </c>
      <c r="B150" s="4">
        <v>656069.45263309905</v>
      </c>
      <c r="C150" s="4">
        <v>186370.21736690099</v>
      </c>
    </row>
    <row r="151" spans="1:3">
      <c r="A151" s="4">
        <v>127</v>
      </c>
      <c r="B151" s="4">
        <v>681136.47085662617</v>
      </c>
      <c r="C151" s="4">
        <v>161021.44914337387</v>
      </c>
    </row>
    <row r="152" spans="1:3">
      <c r="A152" s="4">
        <v>128</v>
      </c>
      <c r="B152" s="4">
        <v>641335.98572916887</v>
      </c>
      <c r="C152" s="4">
        <v>55819.314270831179</v>
      </c>
    </row>
    <row r="153" spans="1:3">
      <c r="A153" s="4">
        <v>129</v>
      </c>
      <c r="B153" s="4">
        <v>701862.83957718674</v>
      </c>
      <c r="C153" s="4">
        <v>147155.46042281331</v>
      </c>
    </row>
    <row r="154" spans="1:3">
      <c r="A154" s="4">
        <v>130</v>
      </c>
      <c r="B154" s="4">
        <v>706463.57411491184</v>
      </c>
      <c r="C154" s="4">
        <v>95366.775885088136</v>
      </c>
    </row>
    <row r="155" spans="1:3">
      <c r="A155" s="4">
        <v>131</v>
      </c>
      <c r="B155" s="4">
        <v>668822.69132716337</v>
      </c>
      <c r="C155" s="4">
        <v>56412.58867283666</v>
      </c>
    </row>
    <row r="156" spans="1:3">
      <c r="A156" s="4">
        <v>132</v>
      </c>
      <c r="B156" s="4">
        <v>702299.9775046811</v>
      </c>
      <c r="C156" s="4">
        <v>109152.74249531887</v>
      </c>
    </row>
    <row r="157" spans="1:3">
      <c r="A157" s="4">
        <v>133</v>
      </c>
      <c r="B157" s="4">
        <v>710435.97745223157</v>
      </c>
      <c r="C157" s="4">
        <v>-183135.84745223157</v>
      </c>
    </row>
    <row r="158" spans="1:3">
      <c r="A158" s="4">
        <v>134</v>
      </c>
      <c r="B158" s="4">
        <v>607780.56543288182</v>
      </c>
      <c r="C158" s="4">
        <v>-206948.9154328818</v>
      </c>
    </row>
    <row r="159" spans="1:3">
      <c r="A159" s="4">
        <v>135</v>
      </c>
      <c r="B159" s="4">
        <v>672123.14976136864</v>
      </c>
      <c r="C159" s="4">
        <v>-78875.899761368637</v>
      </c>
    </row>
    <row r="160" spans="1:3">
      <c r="A160" s="4">
        <v>136</v>
      </c>
      <c r="B160" s="4">
        <v>710628.66142787179</v>
      </c>
      <c r="C160" s="4">
        <v>-181552.71142787184</v>
      </c>
    </row>
    <row r="161" spans="1:3">
      <c r="A161" s="4">
        <v>137</v>
      </c>
      <c r="B161" s="4">
        <v>712660.06333285978</v>
      </c>
      <c r="C161" s="4">
        <v>-79022.033332859748</v>
      </c>
    </row>
    <row r="162" spans="1:3">
      <c r="A162" s="4">
        <v>138</v>
      </c>
      <c r="B162" s="4">
        <v>720729.04554485087</v>
      </c>
      <c r="C162" s="4">
        <v>22619.794455149095</v>
      </c>
    </row>
    <row r="163" spans="1:3">
      <c r="A163" s="4">
        <v>139</v>
      </c>
      <c r="B163" s="4">
        <v>709376.9822333277</v>
      </c>
      <c r="C163" s="4">
        <v>49450.657766672317</v>
      </c>
    </row>
    <row r="164" spans="1:3">
      <c r="A164" s="4">
        <v>140</v>
      </c>
      <c r="B164" s="4">
        <v>654930.02335407212</v>
      </c>
      <c r="C164" s="4">
        <v>-8370.313354072161</v>
      </c>
    </row>
    <row r="165" spans="1:3">
      <c r="A165" s="4">
        <v>141</v>
      </c>
      <c r="B165" s="4">
        <v>670302.0647157334</v>
      </c>
      <c r="C165" s="4">
        <v>45588.465284266626</v>
      </c>
    </row>
    <row r="166" spans="1:3">
      <c r="A166" s="4">
        <v>142</v>
      </c>
      <c r="B166" s="4">
        <v>658112.75886416819</v>
      </c>
      <c r="C166" s="4">
        <v>56984.811135831755</v>
      </c>
    </row>
    <row r="167" spans="1:3">
      <c r="A167" s="4">
        <v>143</v>
      </c>
      <c r="B167" s="4">
        <v>654552.3431697241</v>
      </c>
      <c r="C167" s="4">
        <v>28086.936830275925</v>
      </c>
    </row>
    <row r="168" spans="1:3">
      <c r="A168" s="4">
        <v>144</v>
      </c>
      <c r="B168" s="4">
        <v>667678.02329283056</v>
      </c>
      <c r="C168" s="4">
        <v>27420.486707169446</v>
      </c>
    </row>
    <row r="169" spans="1:3">
      <c r="A169" s="4">
        <v>145</v>
      </c>
      <c r="B169" s="4">
        <v>710887.27705565433</v>
      </c>
      <c r="C169" s="4">
        <v>-133154.70705565438</v>
      </c>
    </row>
    <row r="170" spans="1:3">
      <c r="A170" s="4">
        <v>146</v>
      </c>
      <c r="B170" s="4">
        <v>669192.47078704601</v>
      </c>
      <c r="C170" s="4">
        <v>-132134.14078704605</v>
      </c>
    </row>
    <row r="171" spans="1:3">
      <c r="A171" s="4">
        <v>147</v>
      </c>
      <c r="B171" s="4">
        <v>674393.80945441127</v>
      </c>
      <c r="C171" s="4">
        <v>-72824.939454411273</v>
      </c>
    </row>
    <row r="172" spans="1:3">
      <c r="A172" s="4">
        <v>148</v>
      </c>
      <c r="B172" s="4">
        <v>689238.44019044167</v>
      </c>
      <c r="C172" s="4">
        <v>-118273.60019044171</v>
      </c>
    </row>
    <row r="173" spans="1:3">
      <c r="A173" s="4">
        <v>149</v>
      </c>
      <c r="B173" s="4">
        <v>670611.64108110522</v>
      </c>
      <c r="C173" s="4">
        <v>-56586.731081105187</v>
      </c>
    </row>
    <row r="174" spans="1:3">
      <c r="A174" s="4">
        <v>150</v>
      </c>
      <c r="B174" s="4">
        <v>653030.42086610873</v>
      </c>
      <c r="C174" s="4">
        <v>59837.929133891244</v>
      </c>
    </row>
    <row r="175" spans="1:3">
      <c r="A175" s="4">
        <v>151</v>
      </c>
      <c r="B175" s="4">
        <v>661066.60761805496</v>
      </c>
      <c r="C175" s="4">
        <v>35677.542381945066</v>
      </c>
    </row>
    <row r="176" spans="1:3">
      <c r="A176" s="4">
        <v>152</v>
      </c>
      <c r="B176" s="4">
        <v>713798.17227518361</v>
      </c>
      <c r="C176" s="4">
        <v>12049.817724816385</v>
      </c>
    </row>
    <row r="177" spans="1:3">
      <c r="A177" s="4">
        <v>153</v>
      </c>
      <c r="B177" s="4">
        <v>721869.56090729497</v>
      </c>
      <c r="C177" s="4">
        <v>63158.689092705026</v>
      </c>
    </row>
    <row r="178" spans="1:3">
      <c r="A178" s="4">
        <v>154</v>
      </c>
      <c r="B178" s="4">
        <v>697868.22476920031</v>
      </c>
      <c r="C178" s="4">
        <v>624.44523079972714</v>
      </c>
    </row>
    <row r="179" spans="1:3">
      <c r="A179" s="4">
        <v>155</v>
      </c>
      <c r="B179" s="4">
        <v>691605.33539253811</v>
      </c>
      <c r="C179" s="4">
        <v>-5775.0953925381182</v>
      </c>
    </row>
    <row r="180" spans="1:3">
      <c r="A180" s="4">
        <v>156</v>
      </c>
      <c r="B180" s="4">
        <v>651706.25092741335</v>
      </c>
      <c r="C180" s="4">
        <v>50612.689072586596</v>
      </c>
    </row>
    <row r="181" spans="1:3">
      <c r="A181" s="4">
        <v>157</v>
      </c>
      <c r="B181" s="4">
        <v>745801.89880477567</v>
      </c>
      <c r="C181" s="4">
        <v>-45723.578804775723</v>
      </c>
    </row>
    <row r="182" spans="1:3">
      <c r="A182" s="4">
        <v>158</v>
      </c>
      <c r="B182" s="4">
        <v>649927.92775435618</v>
      </c>
      <c r="C182" s="4">
        <v>-47925.607754356228</v>
      </c>
    </row>
    <row r="183" spans="1:3">
      <c r="A183" s="4">
        <v>159</v>
      </c>
      <c r="B183" s="4">
        <v>681988.85467724735</v>
      </c>
      <c r="C183" s="4">
        <v>42227.2153227526</v>
      </c>
    </row>
    <row r="184" spans="1:3">
      <c r="A184" s="4">
        <v>160</v>
      </c>
      <c r="B184" s="4">
        <v>610299.70397514757</v>
      </c>
      <c r="C184" s="4">
        <v>10673.32602485246</v>
      </c>
    </row>
    <row r="185" spans="1:3">
      <c r="A185" s="4">
        <v>161</v>
      </c>
      <c r="B185" s="4">
        <v>649034.20887662657</v>
      </c>
      <c r="C185" s="4">
        <v>1445.8511233734898</v>
      </c>
    </row>
    <row r="186" spans="1:3">
      <c r="A186" s="4">
        <v>162</v>
      </c>
      <c r="B186" s="4">
        <v>663931.52530626161</v>
      </c>
      <c r="C186" s="4">
        <v>114367.35469373839</v>
      </c>
    </row>
    <row r="187" spans="1:3">
      <c r="A187" s="4">
        <v>163</v>
      </c>
      <c r="B187" s="4">
        <v>682468.30726650089</v>
      </c>
      <c r="C187" s="4">
        <v>-5371.5972665009322</v>
      </c>
    </row>
    <row r="188" spans="1:3">
      <c r="A188" s="4">
        <v>164</v>
      </c>
      <c r="B188" s="4">
        <v>703183.36794207199</v>
      </c>
      <c r="C188" s="4">
        <v>-11174.727942071971</v>
      </c>
    </row>
    <row r="189" spans="1:3">
      <c r="A189" s="4">
        <v>165</v>
      </c>
      <c r="B189" s="4">
        <v>714427.33400996681</v>
      </c>
      <c r="C189" s="4">
        <v>111370.57599003322</v>
      </c>
    </row>
    <row r="190" spans="1:3">
      <c r="A190" s="4">
        <v>166</v>
      </c>
      <c r="B190" s="4">
        <v>635958.38211193902</v>
      </c>
      <c r="C190" s="4">
        <v>70327.137888060999</v>
      </c>
    </row>
    <row r="191" spans="1:3">
      <c r="A191" s="4">
        <v>167</v>
      </c>
      <c r="B191" s="4">
        <v>625307.43888551812</v>
      </c>
      <c r="C191" s="4">
        <v>40227.261114481837</v>
      </c>
    </row>
    <row r="192" spans="1:3">
      <c r="A192" s="4">
        <v>168</v>
      </c>
      <c r="B192" s="4">
        <v>727804.49568350834</v>
      </c>
      <c r="C192" s="4">
        <v>92924.794316491694</v>
      </c>
    </row>
    <row r="193" spans="1:3">
      <c r="A193" s="4">
        <v>169</v>
      </c>
      <c r="B193" s="4">
        <v>692937.04402789311</v>
      </c>
      <c r="C193" s="4">
        <v>46894.685972106876</v>
      </c>
    </row>
    <row r="194" spans="1:3">
      <c r="A194" s="4">
        <v>170</v>
      </c>
      <c r="B194" s="4">
        <v>630700.84395167872</v>
      </c>
      <c r="C194" s="4">
        <v>-37063.703951678704</v>
      </c>
    </row>
    <row r="195" spans="1:3">
      <c r="A195" s="4">
        <v>171</v>
      </c>
      <c r="B195" s="4">
        <v>669013.18184021628</v>
      </c>
      <c r="C195" s="4">
        <v>100689.57815978373</v>
      </c>
    </row>
    <row r="196" spans="1:3">
      <c r="A196" s="4">
        <v>172</v>
      </c>
      <c r="B196" s="4">
        <v>638733.66597460734</v>
      </c>
      <c r="C196" s="4">
        <v>40997.904025392607</v>
      </c>
    </row>
    <row r="197" spans="1:3">
      <c r="A197" s="4">
        <v>173</v>
      </c>
      <c r="B197" s="4">
        <v>699706.13345992344</v>
      </c>
      <c r="C197" s="4">
        <v>80638.046540076612</v>
      </c>
    </row>
    <row r="198" spans="1:3">
      <c r="A198" s="4">
        <v>174</v>
      </c>
      <c r="B198" s="4">
        <v>653724.74760591611</v>
      </c>
      <c r="C198" s="4">
        <v>67639.362394083873</v>
      </c>
    </row>
    <row r="199" spans="1:3">
      <c r="A199" s="4">
        <v>175</v>
      </c>
      <c r="B199" s="4">
        <v>705673.9701749481</v>
      </c>
      <c r="C199" s="4">
        <v>52464.319825051934</v>
      </c>
    </row>
    <row r="200" spans="1:3">
      <c r="A200" s="4">
        <v>176</v>
      </c>
      <c r="B200" s="4">
        <v>695034.16462749057</v>
      </c>
      <c r="C200" s="4">
        <v>109229.83537250943</v>
      </c>
    </row>
    <row r="201" spans="1:3">
      <c r="A201" s="4">
        <v>177</v>
      </c>
      <c r="B201" s="4">
        <v>704511.09427156439</v>
      </c>
      <c r="C201" s="4">
        <v>183026.65572843561</v>
      </c>
    </row>
    <row r="202" spans="1:3">
      <c r="A202" s="4">
        <v>178</v>
      </c>
      <c r="B202" s="4">
        <v>623364.11621607933</v>
      </c>
      <c r="C202" s="4">
        <v>160217.88378392067</v>
      </c>
    </row>
    <row r="203" spans="1:3">
      <c r="A203" s="4">
        <v>179</v>
      </c>
      <c r="B203" s="4">
        <v>647099.87301507022</v>
      </c>
      <c r="C203" s="4">
        <v>134855.6469849298</v>
      </c>
    </row>
    <row r="204" spans="1:3">
      <c r="A204" s="4">
        <v>180</v>
      </c>
      <c r="B204" s="4">
        <v>720243.26811687439</v>
      </c>
      <c r="C204" s="4">
        <v>177787.77188312565</v>
      </c>
    </row>
    <row r="205" spans="1:3">
      <c r="A205" s="4">
        <v>181</v>
      </c>
      <c r="B205" s="4">
        <v>706634.32346467802</v>
      </c>
      <c r="C205" s="4">
        <v>148706.95653532201</v>
      </c>
    </row>
    <row r="206" spans="1:3">
      <c r="A206" s="4">
        <v>182</v>
      </c>
      <c r="B206" s="4">
        <v>657053.84882827743</v>
      </c>
      <c r="C206" s="4">
        <v>94340.03117172257</v>
      </c>
    </row>
    <row r="207" spans="1:3">
      <c r="A207" s="4">
        <v>183</v>
      </c>
      <c r="B207" s="4">
        <v>694962.37664319749</v>
      </c>
      <c r="C207" s="4">
        <v>66114.703356802464</v>
      </c>
    </row>
    <row r="208" spans="1:3">
      <c r="A208" s="4">
        <v>184</v>
      </c>
      <c r="B208" s="4">
        <v>684183.85055890062</v>
      </c>
      <c r="C208" s="4">
        <v>135476.73944109934</v>
      </c>
    </row>
    <row r="209" spans="1:3">
      <c r="A209" s="4">
        <v>185</v>
      </c>
      <c r="B209" s="4">
        <v>713982.44442828</v>
      </c>
      <c r="C209" s="4">
        <v>-32126.88442827994</v>
      </c>
    </row>
    <row r="210" spans="1:3">
      <c r="A210" s="4">
        <v>186</v>
      </c>
      <c r="B210" s="4">
        <v>682478.06072150124</v>
      </c>
      <c r="C210" s="4">
        <v>-4166.8907215012005</v>
      </c>
    </row>
    <row r="211" spans="1:3">
      <c r="A211" s="4">
        <v>187</v>
      </c>
      <c r="B211" s="4">
        <v>663064.55389464647</v>
      </c>
      <c r="C211" s="4">
        <v>102842.39610535349</v>
      </c>
    </row>
    <row r="212" spans="1:3">
      <c r="A212" s="4">
        <v>188</v>
      </c>
      <c r="B212" s="4">
        <v>715778.05975299713</v>
      </c>
      <c r="C212" s="4">
        <v>-3231.6797529971227</v>
      </c>
    </row>
    <row r="213" spans="1:3">
      <c r="A213" s="4">
        <v>189</v>
      </c>
      <c r="B213" s="4">
        <v>713344.16811109474</v>
      </c>
      <c r="C213" s="4">
        <v>-87350.338111094781</v>
      </c>
    </row>
    <row r="214" spans="1:3">
      <c r="A214" s="4">
        <v>190</v>
      </c>
      <c r="B214" s="4">
        <v>679583.39286596817</v>
      </c>
      <c r="C214" s="4">
        <v>-128620.46286596812</v>
      </c>
    </row>
    <row r="215" spans="1:3">
      <c r="A215" s="4">
        <v>191</v>
      </c>
      <c r="B215" s="4">
        <v>641074.85720249976</v>
      </c>
      <c r="C215" s="4">
        <v>-197799.26720249973</v>
      </c>
    </row>
    <row r="216" spans="1:3">
      <c r="A216" s="4">
        <v>192</v>
      </c>
      <c r="B216" s="4">
        <v>677831.9662292985</v>
      </c>
      <c r="C216" s="4">
        <v>-123819.89622929855</v>
      </c>
    </row>
    <row r="217" spans="1:3">
      <c r="A217" s="4">
        <v>193</v>
      </c>
      <c r="B217" s="4">
        <v>734969.66483071703</v>
      </c>
      <c r="C217" s="4">
        <v>-91540.814830717049</v>
      </c>
    </row>
    <row r="218" spans="1:3">
      <c r="A218" s="4">
        <v>194</v>
      </c>
      <c r="B218" s="4">
        <v>669669.83639247855</v>
      </c>
      <c r="C218" s="4">
        <v>-57745.566392478533</v>
      </c>
    </row>
    <row r="219" spans="1:3">
      <c r="A219" s="4">
        <v>195</v>
      </c>
      <c r="B219" s="4">
        <v>646429.24844865885</v>
      </c>
      <c r="C219" s="4">
        <v>-87007.228448658832</v>
      </c>
    </row>
    <row r="220" spans="1:3">
      <c r="A220" s="4">
        <v>196</v>
      </c>
      <c r="B220" s="4">
        <v>649490.42779905617</v>
      </c>
      <c r="C220" s="4">
        <v>-200025.36779905617</v>
      </c>
    </row>
    <row r="221" spans="1:3">
      <c r="A221" s="4">
        <v>197</v>
      </c>
      <c r="B221" s="4">
        <v>713790.42062099115</v>
      </c>
      <c r="C221" s="4">
        <v>-22342.990620991099</v>
      </c>
    </row>
    <row r="222" spans="1:3">
      <c r="A222" s="4">
        <v>198</v>
      </c>
      <c r="B222" s="4">
        <v>675780.43983746483</v>
      </c>
      <c r="C222" s="4">
        <v>-101713.82983746484</v>
      </c>
    </row>
    <row r="223" spans="1:3">
      <c r="A223" s="4">
        <v>199</v>
      </c>
      <c r="B223" s="4">
        <v>676795.18248106143</v>
      </c>
      <c r="C223" s="4">
        <v>-97845.342481061467</v>
      </c>
    </row>
    <row r="224" spans="1:3">
      <c r="A224" s="4">
        <v>200</v>
      </c>
      <c r="B224" s="4">
        <v>691515.80804576632</v>
      </c>
      <c r="C224" s="4">
        <v>44270.831954233698</v>
      </c>
    </row>
    <row r="225" spans="1:3">
      <c r="A225" s="4">
        <v>201</v>
      </c>
      <c r="B225" s="4">
        <v>608294.41066367598</v>
      </c>
      <c r="C225" s="4">
        <v>-9389.5106636759592</v>
      </c>
    </row>
    <row r="226" spans="1:3">
      <c r="A226" s="4">
        <v>202</v>
      </c>
      <c r="B226" s="4">
        <v>727122.6695508738</v>
      </c>
      <c r="C226" s="4">
        <v>60592.840449126204</v>
      </c>
    </row>
    <row r="227" spans="1:3">
      <c r="A227" s="4">
        <v>203</v>
      </c>
      <c r="B227" s="4">
        <v>635745.27550890716</v>
      </c>
      <c r="C227" s="4">
        <v>-28660.355508907116</v>
      </c>
    </row>
    <row r="228" spans="1:3">
      <c r="A228" s="4">
        <v>204</v>
      </c>
      <c r="B228" s="4">
        <v>697292.23853034712</v>
      </c>
      <c r="C228" s="4">
        <v>-46496.748530347133</v>
      </c>
    </row>
    <row r="229" spans="1:3">
      <c r="A229" s="4">
        <v>205</v>
      </c>
      <c r="B229" s="4">
        <v>756890.23550773016</v>
      </c>
      <c r="C229" s="4">
        <v>68170.284492269857</v>
      </c>
    </row>
    <row r="230" spans="1:3">
      <c r="A230" s="4">
        <v>206</v>
      </c>
      <c r="B230" s="4">
        <v>676415.13846809976</v>
      </c>
      <c r="C230" s="4">
        <v>119049.33153190021</v>
      </c>
    </row>
    <row r="231" spans="1:3">
      <c r="A231" s="4">
        <v>207</v>
      </c>
      <c r="B231" s="4">
        <v>641665.75046864618</v>
      </c>
      <c r="C231" s="4">
        <v>30202.839531353791</v>
      </c>
    </row>
    <row r="232" spans="1:3">
      <c r="A232" s="4">
        <v>208</v>
      </c>
      <c r="B232" s="4">
        <v>680914.84595228394</v>
      </c>
      <c r="C232" s="4">
        <v>-4997.2159522839356</v>
      </c>
    </row>
    <row r="233" spans="1:3">
      <c r="A233" s="4">
        <v>209</v>
      </c>
      <c r="B233" s="4">
        <v>695914.21163161704</v>
      </c>
      <c r="C233" s="4">
        <v>114532.31836838298</v>
      </c>
    </row>
    <row r="234" spans="1:3">
      <c r="A234" s="4">
        <v>210</v>
      </c>
      <c r="B234" s="4">
        <v>694833.47344861843</v>
      </c>
      <c r="C234" s="4">
        <v>-3545.2834486184875</v>
      </c>
    </row>
    <row r="235" spans="1:3">
      <c r="A235" s="4">
        <v>211</v>
      </c>
      <c r="B235" s="4">
        <v>790707.99818862299</v>
      </c>
      <c r="C235" s="4">
        <v>156125.54181137704</v>
      </c>
    </row>
    <row r="236" spans="1:3">
      <c r="A236" s="4">
        <v>212</v>
      </c>
      <c r="B236" s="4">
        <v>665990.6116905082</v>
      </c>
      <c r="C236" s="4">
        <v>95972.61830949178</v>
      </c>
    </row>
    <row r="237" spans="1:3">
      <c r="A237" s="4">
        <v>213</v>
      </c>
      <c r="B237" s="4">
        <v>669146.02474915131</v>
      </c>
      <c r="C237" s="4">
        <v>143006.57525084866</v>
      </c>
    </row>
    <row r="238" spans="1:3">
      <c r="A238" s="4">
        <v>214</v>
      </c>
      <c r="B238" s="4">
        <v>649835.01438281348</v>
      </c>
      <c r="C238" s="4">
        <v>155140.48561718652</v>
      </c>
    </row>
    <row r="239" spans="1:3">
      <c r="A239" s="4">
        <v>215</v>
      </c>
      <c r="B239" s="4">
        <v>635943.98618272447</v>
      </c>
      <c r="C239" s="4">
        <v>116377.7338172755</v>
      </c>
    </row>
    <row r="240" spans="1:3">
      <c r="A240" s="4">
        <v>216</v>
      </c>
      <c r="B240" s="4">
        <v>661700.24146102602</v>
      </c>
      <c r="C240" s="4">
        <v>175207.99853897397</v>
      </c>
    </row>
    <row r="241" spans="1:3">
      <c r="A241" s="4">
        <v>217</v>
      </c>
      <c r="B241" s="4">
        <v>708102.51658277819</v>
      </c>
      <c r="C241" s="4">
        <v>-33813.416582778213</v>
      </c>
    </row>
    <row r="242" spans="1:3">
      <c r="A242" s="4">
        <v>218</v>
      </c>
      <c r="B242" s="4">
        <v>633155.92486809066</v>
      </c>
      <c r="C242" s="4">
        <v>-10263.504868090618</v>
      </c>
    </row>
    <row r="243" spans="1:3">
      <c r="A243" s="4">
        <v>219</v>
      </c>
      <c r="B243" s="4">
        <v>685965.13384166313</v>
      </c>
      <c r="C243" s="4">
        <v>-12616.573841663077</v>
      </c>
    </row>
    <row r="244" spans="1:3">
      <c r="A244" s="4">
        <v>220</v>
      </c>
      <c r="B244" s="4">
        <v>595812.79930264573</v>
      </c>
      <c r="C244" s="4">
        <v>10465.50069735432</v>
      </c>
    </row>
    <row r="245" spans="1:3">
      <c r="A245" s="4">
        <v>221</v>
      </c>
      <c r="B245" s="4">
        <v>674427.94654691254</v>
      </c>
      <c r="C245" s="4">
        <v>37791.863453087513</v>
      </c>
    </row>
    <row r="246" spans="1:3">
      <c r="A246" s="4">
        <v>222</v>
      </c>
      <c r="B246" s="4">
        <v>618690.37983612448</v>
      </c>
      <c r="C246" s="4">
        <v>53980.160163875553</v>
      </c>
    </row>
    <row r="247" spans="1:3">
      <c r="A247" s="4">
        <v>223</v>
      </c>
      <c r="B247" s="4">
        <v>703379.54442124953</v>
      </c>
      <c r="C247" s="4">
        <v>29288.375578750507</v>
      </c>
    </row>
    <row r="248" spans="1:3">
      <c r="A248" s="4">
        <v>224</v>
      </c>
      <c r="B248" s="4">
        <v>717388.42331996735</v>
      </c>
      <c r="C248" s="4">
        <v>6142.9766800326761</v>
      </c>
    </row>
    <row r="249" spans="1:3">
      <c r="A249" s="4">
        <v>225</v>
      </c>
      <c r="B249" s="4">
        <v>706040.55527183937</v>
      </c>
      <c r="C249" s="4">
        <v>-64475.955271839397</v>
      </c>
    </row>
    <row r="250" spans="1:3">
      <c r="A250" s="4">
        <v>226</v>
      </c>
      <c r="B250" s="4">
        <v>682644.38055458595</v>
      </c>
      <c r="C250" s="4">
        <v>-146098.89055458596</v>
      </c>
    </row>
    <row r="251" spans="1:3">
      <c r="A251" s="4">
        <v>227</v>
      </c>
      <c r="B251" s="4">
        <v>652204.31600503006</v>
      </c>
      <c r="C251" s="4">
        <v>-124522.75600503001</v>
      </c>
    </row>
    <row r="252" spans="1:3">
      <c r="A252" s="4">
        <v>228</v>
      </c>
      <c r="B252" s="4">
        <v>644557.92672104586</v>
      </c>
      <c r="C252" s="4">
        <v>-114958.98672104592</v>
      </c>
    </row>
    <row r="253" spans="1:3">
      <c r="A253" s="4">
        <v>229</v>
      </c>
      <c r="B253" s="4">
        <v>640262.10477872519</v>
      </c>
      <c r="C253" s="4">
        <v>-69298.794778725132</v>
      </c>
    </row>
    <row r="254" spans="1:3">
      <c r="A254" s="4">
        <v>230</v>
      </c>
      <c r="B254" s="4">
        <v>802986.72490819369</v>
      </c>
      <c r="C254" s="4">
        <v>67950.675091806334</v>
      </c>
    </row>
    <row r="255" spans="1:3">
      <c r="A255" s="4">
        <v>231</v>
      </c>
      <c r="B255" s="4">
        <v>631423.77088813565</v>
      </c>
      <c r="C255" s="4">
        <v>-34454.500888135633</v>
      </c>
    </row>
    <row r="256" spans="1:3">
      <c r="A256" s="4">
        <v>232</v>
      </c>
      <c r="B256" s="4">
        <v>615758.89162317745</v>
      </c>
      <c r="C256" s="4">
        <v>31753.958376822527</v>
      </c>
    </row>
    <row r="257" spans="1:3">
      <c r="A257" s="4">
        <v>233</v>
      </c>
      <c r="B257" s="4">
        <v>661382.57270940952</v>
      </c>
      <c r="C257" s="4">
        <v>-3310.4327094095061</v>
      </c>
    </row>
    <row r="258" spans="1:3">
      <c r="A258" s="4">
        <v>234</v>
      </c>
      <c r="B258" s="4">
        <v>692067.34675985877</v>
      </c>
      <c r="C258" s="4">
        <v>31237.763240141212</v>
      </c>
    </row>
    <row r="259" spans="1:3">
      <c r="A259" s="4">
        <v>235</v>
      </c>
      <c r="B259" s="4">
        <v>694051.9405991463</v>
      </c>
      <c r="C259" s="4">
        <v>-53385.410599146271</v>
      </c>
    </row>
    <row r="260" spans="1:3">
      <c r="A260" s="4">
        <v>236</v>
      </c>
      <c r="B260" s="4">
        <v>662878.00309594965</v>
      </c>
      <c r="C260" s="4">
        <v>7751.4769040503306</v>
      </c>
    </row>
    <row r="261" spans="1:3">
      <c r="A261" s="4">
        <v>237</v>
      </c>
      <c r="B261" s="4">
        <v>659792.80213585717</v>
      </c>
      <c r="C261" s="4">
        <v>61286.547864142805</v>
      </c>
    </row>
    <row r="262" spans="1:3">
      <c r="A262" s="4">
        <v>238</v>
      </c>
      <c r="B262" s="4">
        <v>716155.31402227969</v>
      </c>
      <c r="C262" s="4">
        <v>94199.705977720325</v>
      </c>
    </row>
    <row r="263" spans="1:3">
      <c r="A263" s="4">
        <v>239</v>
      </c>
      <c r="B263" s="4">
        <v>686550.17077565868</v>
      </c>
      <c r="C263" s="4">
        <v>75369.079224341316</v>
      </c>
    </row>
    <row r="264" spans="1:3">
      <c r="A264" s="4">
        <v>240</v>
      </c>
      <c r="B264" s="4">
        <v>616674.65160554764</v>
      </c>
      <c r="C264" s="4">
        <v>120395.52839445241</v>
      </c>
    </row>
    <row r="265" spans="1:3">
      <c r="A265" s="4">
        <v>241</v>
      </c>
      <c r="B265" s="4">
        <v>709634.91639700532</v>
      </c>
      <c r="C265" s="4">
        <v>67358.013602994732</v>
      </c>
    </row>
    <row r="266" spans="1:3">
      <c r="A266" s="4">
        <v>242</v>
      </c>
      <c r="B266" s="4">
        <v>671050.16323256248</v>
      </c>
      <c r="C266" s="4">
        <v>5287.2467674375512</v>
      </c>
    </row>
    <row r="267" spans="1:3">
      <c r="A267" s="4">
        <v>243</v>
      </c>
      <c r="B267" s="4">
        <v>711550.511995679</v>
      </c>
      <c r="C267" s="4">
        <v>116669.15800432104</v>
      </c>
    </row>
    <row r="268" spans="1:3">
      <c r="A268" s="4">
        <v>244</v>
      </c>
      <c r="B268" s="4">
        <v>674808.30999617337</v>
      </c>
      <c r="C268" s="4">
        <v>88351.610003826674</v>
      </c>
    </row>
    <row r="269" spans="1:3">
      <c r="A269" s="4">
        <v>245</v>
      </c>
      <c r="B269" s="4">
        <v>724631.55621991912</v>
      </c>
      <c r="C269" s="4">
        <v>77370.123780080932</v>
      </c>
    </row>
    <row r="270" spans="1:3">
      <c r="A270" s="4">
        <v>246</v>
      </c>
      <c r="B270" s="4">
        <v>663126.39676215965</v>
      </c>
      <c r="C270" s="4">
        <v>87344.943237840314</v>
      </c>
    </row>
    <row r="271" spans="1:3">
      <c r="A271" s="4">
        <v>247</v>
      </c>
      <c r="B271" s="4">
        <v>682993.75868283038</v>
      </c>
      <c r="C271" s="4">
        <v>-3762.8986828303896</v>
      </c>
    </row>
    <row r="272" spans="1:3">
      <c r="A272" s="4">
        <v>248</v>
      </c>
      <c r="B272" s="4">
        <v>606640.26302797056</v>
      </c>
      <c r="C272" s="4">
        <v>73248.476972029428</v>
      </c>
    </row>
    <row r="273" spans="1:3">
      <c r="A273" s="4">
        <v>249</v>
      </c>
      <c r="B273" s="4">
        <v>647927.38339586509</v>
      </c>
      <c r="C273" s="4">
        <v>-41143.713395865052</v>
      </c>
    </row>
    <row r="274" spans="1:3">
      <c r="A274" s="4">
        <v>250</v>
      </c>
      <c r="B274" s="4">
        <v>716092.7045076486</v>
      </c>
      <c r="C274" s="4">
        <v>-73341.284507648554</v>
      </c>
    </row>
    <row r="275" spans="1:3">
      <c r="A275" s="4">
        <v>251</v>
      </c>
      <c r="B275" s="4">
        <v>642471.96509616508</v>
      </c>
      <c r="C275" s="4">
        <v>5481.8149038349511</v>
      </c>
    </row>
    <row r="276" spans="1:3">
      <c r="A276" s="4">
        <v>252</v>
      </c>
      <c r="B276" s="4">
        <v>768370.35018370138</v>
      </c>
      <c r="C276" s="4">
        <v>-38929.900183701422</v>
      </c>
    </row>
    <row r="277" spans="1:3">
      <c r="A277" s="4">
        <v>253</v>
      </c>
      <c r="B277" s="4">
        <v>734980.44048187463</v>
      </c>
      <c r="C277" s="4">
        <v>29968.559518125374</v>
      </c>
    </row>
    <row r="278" spans="1:3">
      <c r="A278" s="4">
        <v>254</v>
      </c>
      <c r="B278" s="4">
        <v>696180.23818153958</v>
      </c>
      <c r="C278" s="4">
        <v>102866.70181846037</v>
      </c>
    </row>
    <row r="279" spans="1:3">
      <c r="A279" s="4">
        <v>255</v>
      </c>
      <c r="B279" s="4">
        <v>721374.4559393836</v>
      </c>
      <c r="C279" s="4">
        <v>-1294.915939383558</v>
      </c>
    </row>
    <row r="280" spans="1:3">
      <c r="A280" s="4">
        <v>256</v>
      </c>
      <c r="B280" s="4">
        <v>638059.8044536981</v>
      </c>
      <c r="C280" s="4">
        <v>-25669.664453698089</v>
      </c>
    </row>
    <row r="281" spans="1:3">
      <c r="A281" s="4">
        <v>257</v>
      </c>
      <c r="B281" s="4">
        <v>699780.22138557024</v>
      </c>
      <c r="C281" s="4">
        <v>140327.89861442975</v>
      </c>
    </row>
    <row r="282" spans="1:3">
      <c r="A282" s="4">
        <v>258</v>
      </c>
      <c r="B282" s="4">
        <v>621833.18580882833</v>
      </c>
      <c r="C282" s="4">
        <v>76054.904191171634</v>
      </c>
    </row>
    <row r="283" spans="1:3">
      <c r="A283" s="4">
        <v>259</v>
      </c>
      <c r="B283" s="4">
        <v>654881.87365591538</v>
      </c>
      <c r="C283" s="4">
        <v>91233.716344084591</v>
      </c>
    </row>
    <row r="284" spans="1:3">
      <c r="A284" s="4">
        <v>260</v>
      </c>
      <c r="B284" s="4">
        <v>642548.39555467223</v>
      </c>
      <c r="C284" s="4">
        <v>133561.92444532772</v>
      </c>
    </row>
    <row r="285" spans="1:3">
      <c r="A285" s="4">
        <v>261</v>
      </c>
      <c r="B285" s="4">
        <v>591697.43757358496</v>
      </c>
      <c r="C285" s="4">
        <v>-62844.817573584965</v>
      </c>
    </row>
    <row r="286" spans="1:3">
      <c r="A286" s="4">
        <v>262</v>
      </c>
      <c r="B286" s="4">
        <v>652962.82814521098</v>
      </c>
      <c r="C286" s="4">
        <v>-47211.498145211022</v>
      </c>
    </row>
    <row r="287" spans="1:3">
      <c r="A287" s="4">
        <v>263</v>
      </c>
      <c r="B287" s="4">
        <v>670345.16732036392</v>
      </c>
      <c r="C287" s="4">
        <v>7295.4826796361012</v>
      </c>
    </row>
    <row r="288" spans="1:3">
      <c r="A288" s="4">
        <v>264</v>
      </c>
      <c r="B288" s="4">
        <v>685758.41596461402</v>
      </c>
      <c r="C288" s="4">
        <v>-49145.185964614036</v>
      </c>
    </row>
    <row r="289" spans="1:3">
      <c r="A289" s="4">
        <v>265</v>
      </c>
      <c r="B289" s="4">
        <v>686383.76575956075</v>
      </c>
      <c r="C289" s="4">
        <v>22601.424240439199</v>
      </c>
    </row>
    <row r="290" spans="1:3">
      <c r="A290" s="4">
        <v>266</v>
      </c>
      <c r="B290" s="4">
        <v>717204.32153289719</v>
      </c>
      <c r="C290" s="4">
        <v>50588.618467102759</v>
      </c>
    </row>
    <row r="291" spans="1:3">
      <c r="A291" s="4">
        <v>267</v>
      </c>
      <c r="B291" s="4">
        <v>681316.3986760542</v>
      </c>
      <c r="C291" s="4">
        <v>64264.111323945806</v>
      </c>
    </row>
    <row r="292" spans="1:3">
      <c r="A292" s="4">
        <v>268</v>
      </c>
      <c r="B292" s="4">
        <v>704997.06336132041</v>
      </c>
      <c r="C292" s="4">
        <v>57331.246638679644</v>
      </c>
    </row>
    <row r="293" spans="1:3">
      <c r="A293" s="4">
        <v>269</v>
      </c>
      <c r="B293" s="4">
        <v>664600.3610293977</v>
      </c>
      <c r="C293" s="4">
        <v>-3966.3710293977056</v>
      </c>
    </row>
    <row r="294" spans="1:3">
      <c r="A294" s="4">
        <v>270</v>
      </c>
      <c r="B294" s="4">
        <v>611706.07552148798</v>
      </c>
      <c r="C294" s="4">
        <v>127668.48447851208</v>
      </c>
    </row>
    <row r="295" spans="1:3">
      <c r="A295" s="4">
        <v>271</v>
      </c>
      <c r="B295" s="4">
        <v>692801.00675596669</v>
      </c>
      <c r="C295" s="4">
        <v>106955.45324403327</v>
      </c>
    </row>
    <row r="296" spans="1:3">
      <c r="A296" s="4">
        <v>272</v>
      </c>
      <c r="B296" s="4">
        <v>623269.58436728758</v>
      </c>
      <c r="C296" s="4">
        <v>-29926.584367287578</v>
      </c>
    </row>
    <row r="297" spans="1:3">
      <c r="A297" s="4">
        <v>273</v>
      </c>
      <c r="B297" s="4">
        <v>668389.40793101187</v>
      </c>
      <c r="C297" s="4">
        <v>-23349.437931011897</v>
      </c>
    </row>
    <row r="298" spans="1:3">
      <c r="A298" s="4">
        <v>274</v>
      </c>
      <c r="B298" s="4">
        <v>598178.16121050634</v>
      </c>
      <c r="C298" s="4">
        <v>-36580.831210506381</v>
      </c>
    </row>
    <row r="299" spans="1:3">
      <c r="A299" s="4">
        <v>275</v>
      </c>
      <c r="B299" s="4">
        <v>662248.86265691975</v>
      </c>
      <c r="C299" s="4">
        <v>-26411.122656919761</v>
      </c>
    </row>
    <row r="300" spans="1:3">
      <c r="A300" s="4">
        <v>276</v>
      </c>
      <c r="B300" s="4">
        <v>642334.92692383472</v>
      </c>
      <c r="C300" s="4">
        <v>44402.943076165277</v>
      </c>
    </row>
    <row r="301" spans="1:3">
      <c r="A301" s="4">
        <v>277</v>
      </c>
      <c r="B301" s="4">
        <v>692351.26174253295</v>
      </c>
      <c r="C301" s="4">
        <v>-19274.921742532984</v>
      </c>
    </row>
    <row r="302" spans="1:3">
      <c r="A302" s="4">
        <v>278</v>
      </c>
      <c r="B302" s="4">
        <v>639214.56667508371</v>
      </c>
      <c r="C302" s="4">
        <v>99333.85332491633</v>
      </c>
    </row>
    <row r="303" spans="1:3">
      <c r="A303" s="4">
        <v>279</v>
      </c>
      <c r="B303" s="4">
        <v>664294.74567413528</v>
      </c>
      <c r="C303" s="4">
        <v>92325.024325864739</v>
      </c>
    </row>
    <row r="304" spans="1:3">
      <c r="A304" s="4">
        <v>280</v>
      </c>
      <c r="B304" s="4">
        <v>710452.54554828024</v>
      </c>
      <c r="C304" s="4">
        <v>50669.874451719807</v>
      </c>
    </row>
    <row r="305" spans="1:3">
      <c r="A305" s="4">
        <v>281</v>
      </c>
      <c r="B305" s="4">
        <v>658610.86653329153</v>
      </c>
      <c r="C305" s="4">
        <v>-133711.29653329158</v>
      </c>
    </row>
    <row r="306" spans="1:3">
      <c r="A306" s="4">
        <v>282</v>
      </c>
      <c r="B306" s="4">
        <v>634825.36285464815</v>
      </c>
      <c r="C306" s="4">
        <v>-79267.59285464813</v>
      </c>
    </row>
    <row r="307" spans="1:3">
      <c r="A307" s="4">
        <v>283</v>
      </c>
      <c r="B307" s="4">
        <v>701551.19752374734</v>
      </c>
      <c r="C307" s="4">
        <v>12532.482476252713</v>
      </c>
    </row>
    <row r="308" spans="1:3">
      <c r="A308" s="4">
        <v>284</v>
      </c>
      <c r="B308" s="4">
        <v>600385.76417809899</v>
      </c>
      <c r="C308" s="4">
        <v>-102945.94417809899</v>
      </c>
    </row>
    <row r="309" spans="1:3">
      <c r="A309" s="4">
        <v>285</v>
      </c>
      <c r="B309" s="4">
        <v>688941.70516429527</v>
      </c>
      <c r="C309" s="4">
        <v>-52166.045164295239</v>
      </c>
    </row>
    <row r="310" spans="1:3">
      <c r="A310" s="4">
        <v>286</v>
      </c>
      <c r="B310" s="4">
        <v>719514.05893320113</v>
      </c>
      <c r="C310" s="4">
        <v>-86504.528933201102</v>
      </c>
    </row>
    <row r="311" spans="1:3">
      <c r="A311" s="4">
        <v>287</v>
      </c>
      <c r="B311" s="4">
        <v>678696.12660148111</v>
      </c>
      <c r="C311" s="4">
        <v>-68747.126601481112</v>
      </c>
    </row>
    <row r="312" spans="1:3">
      <c r="A312" s="4">
        <v>288</v>
      </c>
      <c r="B312" s="4">
        <v>647938.07386400958</v>
      </c>
      <c r="C312" s="4">
        <v>-99834.373864009627</v>
      </c>
    </row>
    <row r="313" spans="1:3">
      <c r="A313" s="4">
        <v>289</v>
      </c>
      <c r="B313" s="4">
        <v>709874.04641054035</v>
      </c>
      <c r="C313" s="4">
        <v>19550.37358945969</v>
      </c>
    </row>
    <row r="314" spans="1:3">
      <c r="A314" s="4">
        <v>290</v>
      </c>
      <c r="B314" s="4">
        <v>707524.80538790964</v>
      </c>
      <c r="C314" s="4">
        <v>-11263.31538790965</v>
      </c>
    </row>
    <row r="315" spans="1:3">
      <c r="A315" s="4">
        <v>291</v>
      </c>
      <c r="B315" s="4">
        <v>681603.69968349941</v>
      </c>
      <c r="C315" s="4">
        <v>131713.01031650056</v>
      </c>
    </row>
    <row r="316" spans="1:3">
      <c r="A316" s="4">
        <v>292</v>
      </c>
      <c r="B316" s="4">
        <v>675946.71707904304</v>
      </c>
      <c r="C316" s="4">
        <v>26122.202920957003</v>
      </c>
    </row>
    <row r="317" spans="1:3">
      <c r="A317" s="4">
        <v>293</v>
      </c>
      <c r="B317" s="4">
        <v>671507.42564690253</v>
      </c>
      <c r="C317" s="4">
        <v>-125283.72564690257</v>
      </c>
    </row>
    <row r="318" spans="1:3">
      <c r="A318" s="4">
        <v>294</v>
      </c>
      <c r="B318" s="4">
        <v>646179.44926273264</v>
      </c>
      <c r="C318" s="4">
        <v>-113058.18926273263</v>
      </c>
    </row>
    <row r="319" spans="1:3">
      <c r="A319" s="4">
        <v>295</v>
      </c>
      <c r="B319" s="4">
        <v>688180.27550591552</v>
      </c>
      <c r="C319" s="4">
        <v>-189209.95550591551</v>
      </c>
    </row>
    <row r="320" spans="1:3">
      <c r="A320" s="4">
        <v>296</v>
      </c>
      <c r="B320" s="4">
        <v>619124.04655583482</v>
      </c>
      <c r="C320" s="4">
        <v>-131385.78655583481</v>
      </c>
    </row>
    <row r="321" spans="1:3">
      <c r="A321" s="4">
        <v>297</v>
      </c>
      <c r="B321" s="4">
        <v>679180.79665028735</v>
      </c>
      <c r="C321" s="4">
        <v>-10721.426650287351</v>
      </c>
    </row>
    <row r="322" spans="1:3">
      <c r="A322" s="4">
        <v>298</v>
      </c>
      <c r="B322" s="4">
        <v>678921.09493908775</v>
      </c>
      <c r="C322" s="4">
        <v>84241.355060912203</v>
      </c>
    </row>
    <row r="323" spans="1:3">
      <c r="A323" s="4">
        <v>299</v>
      </c>
      <c r="B323" s="4">
        <v>659109.84732829907</v>
      </c>
      <c r="C323" s="4">
        <v>-60092.517328299116</v>
      </c>
    </row>
    <row r="324" spans="1:3">
      <c r="A324" s="4">
        <v>300</v>
      </c>
      <c r="B324" s="4">
        <v>612660.14656400145</v>
      </c>
      <c r="C324" s="4">
        <v>-211077.56656400143</v>
      </c>
    </row>
    <row r="325" spans="1:3">
      <c r="A325" s="4">
        <v>301</v>
      </c>
      <c r="B325" s="4">
        <v>647339.62060545024</v>
      </c>
      <c r="C325" s="4">
        <v>56473.369394549751</v>
      </c>
    </row>
    <row r="326" spans="1:3">
      <c r="A326" s="4">
        <v>302</v>
      </c>
      <c r="B326" s="4">
        <v>697042.4393444208</v>
      </c>
      <c r="C326" s="4">
        <v>27304.290655579185</v>
      </c>
    </row>
    <row r="327" spans="1:3">
      <c r="A327" s="4">
        <v>303</v>
      </c>
      <c r="B327" s="4">
        <v>673312.09166676202</v>
      </c>
      <c r="C327" s="4">
        <v>57577.918333237991</v>
      </c>
    </row>
    <row r="328" spans="1:3">
      <c r="A328" s="4">
        <v>304</v>
      </c>
      <c r="B328" s="4">
        <v>628917.89960016066</v>
      </c>
      <c r="C328" s="4">
        <v>151663.0503998393</v>
      </c>
    </row>
    <row r="329" spans="1:3">
      <c r="A329" s="4">
        <v>305</v>
      </c>
      <c r="B329" s="4">
        <v>677793.29314134945</v>
      </c>
      <c r="C329" s="4">
        <v>50164.18685865053</v>
      </c>
    </row>
    <row r="330" spans="1:3">
      <c r="A330" s="4">
        <v>306</v>
      </c>
      <c r="B330" s="4">
        <v>659049.23961447587</v>
      </c>
      <c r="C330" s="4">
        <v>-120673.23961447587</v>
      </c>
    </row>
    <row r="331" spans="1:3">
      <c r="A331" s="4">
        <v>307</v>
      </c>
      <c r="B331" s="4">
        <v>608452.7019977757</v>
      </c>
      <c r="C331" s="4">
        <v>56889.78800222429</v>
      </c>
    </row>
    <row r="332" spans="1:3">
      <c r="A332" s="4">
        <v>308</v>
      </c>
      <c r="B332" s="4">
        <v>690008.60110766452</v>
      </c>
      <c r="C332" s="4">
        <v>-38844.421107664471</v>
      </c>
    </row>
    <row r="333" spans="1:3">
      <c r="A333" s="4">
        <v>309</v>
      </c>
      <c r="B333" s="4">
        <v>663988.49144627457</v>
      </c>
      <c r="C333" s="4">
        <v>-35450.191446274519</v>
      </c>
    </row>
    <row r="334" spans="1:3">
      <c r="A334" s="4">
        <v>310</v>
      </c>
      <c r="B334" s="4">
        <v>611253.34910259559</v>
      </c>
      <c r="C334" s="4">
        <v>-74728.509102595621</v>
      </c>
    </row>
    <row r="335" spans="1:3">
      <c r="A335" s="4">
        <v>311</v>
      </c>
      <c r="B335" s="4">
        <v>676462.13819557964</v>
      </c>
      <c r="C335" s="4">
        <v>-54784.838195579592</v>
      </c>
    </row>
    <row r="336" spans="1:3">
      <c r="A336" s="4">
        <v>312</v>
      </c>
      <c r="B336" s="4">
        <v>743977.42773436964</v>
      </c>
      <c r="C336" s="4">
        <v>27151.642265630304</v>
      </c>
    </row>
    <row r="337" spans="1:3">
      <c r="A337" s="4">
        <v>313</v>
      </c>
      <c r="B337" s="4">
        <v>728944.62772239337</v>
      </c>
      <c r="C337" s="4">
        <v>-26892.1577223934</v>
      </c>
    </row>
    <row r="338" spans="1:3">
      <c r="A338" s="4">
        <v>314</v>
      </c>
      <c r="B338" s="4">
        <v>660373.30307440483</v>
      </c>
      <c r="C338" s="4">
        <v>27995.156925595133</v>
      </c>
    </row>
    <row r="339" spans="1:3">
      <c r="A339" s="4">
        <v>315</v>
      </c>
      <c r="B339" s="4">
        <v>693891.05118314689</v>
      </c>
      <c r="C339" s="4">
        <v>18484.718816853128</v>
      </c>
    </row>
    <row r="340" spans="1:3">
      <c r="A340" s="4">
        <v>316</v>
      </c>
      <c r="B340" s="4">
        <v>702300.99970083835</v>
      </c>
      <c r="C340" s="4">
        <v>142409.67029916169</v>
      </c>
    </row>
    <row r="341" spans="1:3">
      <c r="A341" s="4">
        <v>317</v>
      </c>
      <c r="B341" s="4">
        <v>723933.31106150895</v>
      </c>
      <c r="C341" s="4">
        <v>-103669.111061509</v>
      </c>
    </row>
    <row r="342" spans="1:3">
      <c r="A342" s="4">
        <v>318</v>
      </c>
      <c r="B342" s="4">
        <v>612074.68371494045</v>
      </c>
      <c r="C342" s="4">
        <v>-75229.263714940404</v>
      </c>
    </row>
    <row r="343" spans="1:3">
      <c r="A343" s="4">
        <v>319</v>
      </c>
      <c r="B343" s="4">
        <v>735195.05908338912</v>
      </c>
      <c r="C343" s="4">
        <v>-8418.8390833891463</v>
      </c>
    </row>
    <row r="344" spans="1:3" ht="15" thickBot="1">
      <c r="A344" s="5">
        <v>320</v>
      </c>
      <c r="B344" s="5">
        <v>647138.24796247343</v>
      </c>
      <c r="C344" s="5">
        <v>-87477.407962473459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4991-30AF-479B-BF6B-1C0CBB47AE96}">
  <dimension ref="A1:I344"/>
  <sheetViews>
    <sheetView workbookViewId="0">
      <selection sqref="A1:I344"/>
    </sheetView>
  </sheetViews>
  <sheetFormatPr defaultRowHeight="14.5"/>
  <sheetData>
    <row r="1" spans="1:9">
      <c r="A1" t="s">
        <v>102</v>
      </c>
    </row>
    <row r="2" spans="1:9" ht="15" thickBot="1"/>
    <row r="3" spans="1:9">
      <c r="A3" s="7" t="s">
        <v>103</v>
      </c>
      <c r="B3" s="7"/>
    </row>
    <row r="4" spans="1:9">
      <c r="A4" s="4" t="s">
        <v>104</v>
      </c>
      <c r="B4" s="4">
        <v>0.85807070804410468</v>
      </c>
    </row>
    <row r="5" spans="1:9">
      <c r="A5" s="4" t="s">
        <v>105</v>
      </c>
      <c r="B5" s="4">
        <v>0.73628534000331114</v>
      </c>
    </row>
    <row r="6" spans="1:9">
      <c r="A6" s="4" t="s">
        <v>106</v>
      </c>
      <c r="B6" s="4">
        <v>0.73545604861967373</v>
      </c>
    </row>
    <row r="7" spans="1:9">
      <c r="A7" s="4" t="s">
        <v>107</v>
      </c>
      <c r="B7" s="4">
        <v>53373.736380790499</v>
      </c>
    </row>
    <row r="8" spans="1:9" ht="15" thickBot="1">
      <c r="A8" s="5" t="s">
        <v>108</v>
      </c>
      <c r="B8" s="5">
        <v>320</v>
      </c>
    </row>
    <row r="10" spans="1:9" ht="15" thickBot="1">
      <c r="A10" t="s">
        <v>109</v>
      </c>
    </row>
    <row r="11" spans="1:9">
      <c r="A11" s="6"/>
      <c r="B11" s="6" t="s">
        <v>114</v>
      </c>
      <c r="C11" s="6" t="s">
        <v>115</v>
      </c>
      <c r="D11" s="6" t="s">
        <v>116</v>
      </c>
      <c r="E11" s="6" t="s">
        <v>117</v>
      </c>
      <c r="F11" s="6" t="s">
        <v>118</v>
      </c>
    </row>
    <row r="12" spans="1:9">
      <c r="A12" s="4" t="s">
        <v>110</v>
      </c>
      <c r="B12" s="4">
        <v>1</v>
      </c>
      <c r="C12" s="4">
        <v>2529264292982.4736</v>
      </c>
      <c r="D12" s="4">
        <v>2529264292982.4736</v>
      </c>
      <c r="E12" s="4">
        <v>887.84877611276033</v>
      </c>
      <c r="F12" s="4">
        <v>4.7503615090053331E-94</v>
      </c>
    </row>
    <row r="13" spans="1:9">
      <c r="A13" s="4" t="s">
        <v>111</v>
      </c>
      <c r="B13" s="4">
        <v>318</v>
      </c>
      <c r="C13" s="4">
        <v>905904323808.26587</v>
      </c>
      <c r="D13" s="4">
        <v>2848755735.246119</v>
      </c>
      <c r="E13" s="4"/>
      <c r="F13" s="4"/>
    </row>
    <row r="14" spans="1:9" ht="15" thickBot="1">
      <c r="A14" s="5" t="s">
        <v>112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119</v>
      </c>
      <c r="C16" s="6" t="s">
        <v>107</v>
      </c>
      <c r="D16" s="6" t="s">
        <v>120</v>
      </c>
      <c r="E16" s="6" t="s">
        <v>121</v>
      </c>
      <c r="F16" s="6" t="s">
        <v>122</v>
      </c>
      <c r="G16" s="6" t="s">
        <v>123</v>
      </c>
      <c r="H16" s="6" t="s">
        <v>124</v>
      </c>
      <c r="I16" s="6" t="s">
        <v>125</v>
      </c>
    </row>
    <row r="17" spans="1:9">
      <c r="A17" s="4" t="s">
        <v>113</v>
      </c>
      <c r="B17" s="4">
        <v>446410.58293395344</v>
      </c>
      <c r="C17" s="4">
        <v>8407.7382630059928</v>
      </c>
      <c r="D17" s="4">
        <v>53.095204556754318</v>
      </c>
      <c r="E17" s="4">
        <v>4.0862695711507226E-160</v>
      </c>
      <c r="F17" s="4">
        <v>429868.76191129786</v>
      </c>
      <c r="G17" s="4">
        <v>462952.40395660902</v>
      </c>
      <c r="H17" s="4">
        <v>429868.76191129786</v>
      </c>
      <c r="I17" s="4">
        <v>462952.40395660902</v>
      </c>
    </row>
    <row r="18" spans="1:9" ht="15" thickBot="1">
      <c r="A18" s="5" t="s">
        <v>5</v>
      </c>
      <c r="B18" s="5">
        <v>35.678031072640458</v>
      </c>
      <c r="C18" s="5">
        <v>1.1973782890340821</v>
      </c>
      <c r="D18" s="5">
        <v>29.796791372776362</v>
      </c>
      <c r="E18" s="5">
        <v>4.7503615090054677E-94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  <row r="22" spans="1:9">
      <c r="A22" t="s">
        <v>126</v>
      </c>
    </row>
    <row r="23" spans="1:9" ht="15" thickBot="1"/>
    <row r="24" spans="1:9">
      <c r="A24" s="6" t="s">
        <v>127</v>
      </c>
      <c r="B24" s="6" t="s">
        <v>128</v>
      </c>
      <c r="C24" s="6" t="s">
        <v>129</v>
      </c>
    </row>
    <row r="25" spans="1:9">
      <c r="A25" s="4">
        <v>1</v>
      </c>
      <c r="B25" s="4">
        <v>742609.59689901455</v>
      </c>
      <c r="C25" s="4">
        <v>-83776.976899014553</v>
      </c>
    </row>
    <row r="26" spans="1:9">
      <c r="A26" s="4">
        <v>2</v>
      </c>
      <c r="B26" s="4">
        <v>749210.03264745302</v>
      </c>
      <c r="C26" s="4">
        <v>-114774.03264745302</v>
      </c>
    </row>
    <row r="27" spans="1:9">
      <c r="A27" s="4">
        <v>3</v>
      </c>
      <c r="B27" s="4">
        <v>771544.480098926</v>
      </c>
      <c r="C27" s="4">
        <v>-92822.420098925941</v>
      </c>
    </row>
    <row r="28" spans="1:9">
      <c r="A28" s="4">
        <v>4</v>
      </c>
      <c r="B28" s="4">
        <v>782890.09398002562</v>
      </c>
      <c r="C28" s="4">
        <v>-123969.79398002557</v>
      </c>
    </row>
    <row r="29" spans="1:9">
      <c r="A29" s="4">
        <v>5</v>
      </c>
      <c r="B29" s="4">
        <v>786957.38952230662</v>
      </c>
      <c r="C29" s="4">
        <v>-45615.949522306677</v>
      </c>
    </row>
    <row r="30" spans="1:9">
      <c r="A30" s="4">
        <v>6</v>
      </c>
      <c r="B30" s="4">
        <v>795769.86319724878</v>
      </c>
      <c r="C30" s="4">
        <v>-33934.523197248811</v>
      </c>
    </row>
    <row r="31" spans="1:9">
      <c r="A31" s="4">
        <v>7</v>
      </c>
      <c r="B31" s="4">
        <v>825168.56080110453</v>
      </c>
      <c r="C31" s="4">
        <v>-18553.020801104489</v>
      </c>
    </row>
    <row r="32" spans="1:9">
      <c r="A32" s="4">
        <v>8</v>
      </c>
      <c r="B32" s="4">
        <v>752064.27513326425</v>
      </c>
      <c r="C32" s="4">
        <v>98099.984866735758</v>
      </c>
    </row>
    <row r="33" spans="1:3">
      <c r="A33" s="4">
        <v>9</v>
      </c>
      <c r="B33" s="4">
        <v>838119.68608047301</v>
      </c>
      <c r="C33" s="4">
        <v>92462.013919526944</v>
      </c>
    </row>
    <row r="34" spans="1:3">
      <c r="A34" s="4">
        <v>10</v>
      </c>
      <c r="B34" s="4">
        <v>783889.07885005954</v>
      </c>
      <c r="C34" s="4">
        <v>-4878.1388500595931</v>
      </c>
    </row>
    <row r="35" spans="1:3">
      <c r="A35" s="4">
        <v>11</v>
      </c>
      <c r="B35" s="4">
        <v>773649.48393221176</v>
      </c>
      <c r="C35" s="4">
        <v>-50588.723932211753</v>
      </c>
    </row>
    <row r="36" spans="1:3">
      <c r="A36" s="4">
        <v>12</v>
      </c>
      <c r="B36" s="4">
        <v>847074.87187970581</v>
      </c>
      <c r="C36" s="4">
        <v>63717.068120294134</v>
      </c>
    </row>
    <row r="37" spans="1:3">
      <c r="A37" s="4">
        <v>13</v>
      </c>
      <c r="B37" s="4">
        <v>902197.42988693528</v>
      </c>
      <c r="C37" s="4">
        <v>19971.170113064698</v>
      </c>
    </row>
    <row r="38" spans="1:3">
      <c r="A38" s="4">
        <v>14</v>
      </c>
      <c r="B38" s="4">
        <v>805117.50733828056</v>
      </c>
      <c r="C38" s="4">
        <v>-78511.227338280529</v>
      </c>
    </row>
    <row r="39" spans="1:3">
      <c r="A39" s="4">
        <v>15</v>
      </c>
      <c r="B39" s="4">
        <v>763766.66932509025</v>
      </c>
      <c r="C39" s="4">
        <v>-17265.579325090279</v>
      </c>
    </row>
    <row r="40" spans="1:3">
      <c r="A40" s="4">
        <v>16</v>
      </c>
      <c r="B40" s="4">
        <v>836728.24286863999</v>
      </c>
      <c r="C40" s="4">
        <v>-2711.2228686399758</v>
      </c>
    </row>
    <row r="41" spans="1:3">
      <c r="A41" s="4">
        <v>17</v>
      </c>
      <c r="B41" s="4">
        <v>698190.44821357715</v>
      </c>
      <c r="C41" s="4">
        <v>-32037.928213577135</v>
      </c>
    </row>
    <row r="42" spans="1:3">
      <c r="A42" s="4">
        <v>18</v>
      </c>
      <c r="B42" s="4">
        <v>598506.02939661965</v>
      </c>
      <c r="C42" s="4">
        <v>-25350.839396619704</v>
      </c>
    </row>
    <row r="43" spans="1:3">
      <c r="A43" s="4">
        <v>19</v>
      </c>
      <c r="B43" s="4">
        <v>643995.51901423628</v>
      </c>
      <c r="C43" s="4">
        <v>22577.680985763669</v>
      </c>
    </row>
    <row r="44" spans="1:3">
      <c r="A44" s="4">
        <v>20</v>
      </c>
      <c r="B44" s="4">
        <v>619984.20410234923</v>
      </c>
      <c r="C44" s="4">
        <v>-28364.254102349281</v>
      </c>
    </row>
    <row r="45" spans="1:3">
      <c r="A45" s="4">
        <v>21</v>
      </c>
      <c r="B45" s="4">
        <v>547093.98662094481</v>
      </c>
      <c r="C45" s="4">
        <v>-131372.1666209448</v>
      </c>
    </row>
    <row r="46" spans="1:3">
      <c r="A46" s="4">
        <v>22</v>
      </c>
      <c r="B46" s="4">
        <v>522083.68683902384</v>
      </c>
      <c r="C46" s="4">
        <v>-30178.556839023833</v>
      </c>
    </row>
    <row r="47" spans="1:3">
      <c r="A47" s="4">
        <v>23</v>
      </c>
      <c r="B47" s="4">
        <v>566431.47946231591</v>
      </c>
      <c r="C47" s="4">
        <v>-10502.079462315887</v>
      </c>
    </row>
    <row r="48" spans="1:3">
      <c r="A48" s="4">
        <v>24</v>
      </c>
      <c r="B48" s="4">
        <v>539637.27812676295</v>
      </c>
      <c r="C48" s="4">
        <v>26173.711873237044</v>
      </c>
    </row>
    <row r="49" spans="1:3">
      <c r="A49" s="4">
        <v>25</v>
      </c>
      <c r="B49" s="4">
        <v>810968.70443419367</v>
      </c>
      <c r="C49" s="4">
        <v>802.43556580634322</v>
      </c>
    </row>
    <row r="50" spans="1:3">
      <c r="A50" s="4">
        <v>26</v>
      </c>
      <c r="B50" s="4">
        <v>764908.36631941481</v>
      </c>
      <c r="C50" s="4">
        <v>35543.573680585134</v>
      </c>
    </row>
    <row r="51" spans="1:3">
      <c r="A51" s="4">
        <v>27</v>
      </c>
      <c r="B51" s="4">
        <v>778751.44237559929</v>
      </c>
      <c r="C51" s="4">
        <v>4921.3776244006585</v>
      </c>
    </row>
    <row r="52" spans="1:3">
      <c r="A52" s="4">
        <v>28</v>
      </c>
      <c r="B52" s="4">
        <v>704113.00137163547</v>
      </c>
      <c r="C52" s="4">
        <v>-2471.0313716355013</v>
      </c>
    </row>
    <row r="53" spans="1:3">
      <c r="A53" s="4">
        <v>29</v>
      </c>
      <c r="B53" s="4">
        <v>588694.57085164357</v>
      </c>
      <c r="C53" s="4">
        <v>-76850.160851643595</v>
      </c>
    </row>
    <row r="54" spans="1:3">
      <c r="A54" s="4">
        <v>30</v>
      </c>
      <c r="B54" s="4">
        <v>531681.07719756418</v>
      </c>
      <c r="C54" s="4">
        <v>5702.7128024358535</v>
      </c>
    </row>
    <row r="55" spans="1:3">
      <c r="A55" s="4">
        <v>31</v>
      </c>
      <c r="B55" s="4">
        <v>534570.99771444802</v>
      </c>
      <c r="C55" s="4">
        <v>-34397.977714448003</v>
      </c>
    </row>
    <row r="56" spans="1:3">
      <c r="A56" s="4">
        <v>32</v>
      </c>
      <c r="B56" s="4">
        <v>481053.9511054873</v>
      </c>
      <c r="C56" s="4">
        <v>-53136.571105487295</v>
      </c>
    </row>
    <row r="57" spans="1:3">
      <c r="A57" s="4">
        <v>33</v>
      </c>
      <c r="B57" s="4">
        <v>782818.73791788029</v>
      </c>
      <c r="C57" s="4">
        <v>-140953.70791788027</v>
      </c>
    </row>
    <row r="58" spans="1:3">
      <c r="A58" s="4">
        <v>34</v>
      </c>
      <c r="B58" s="4">
        <v>863665.1563284836</v>
      </c>
      <c r="C58" s="4">
        <v>-64187.396328483592</v>
      </c>
    </row>
    <row r="59" spans="1:3">
      <c r="A59" s="4">
        <v>35</v>
      </c>
      <c r="B59" s="4">
        <v>783532.29853933305</v>
      </c>
      <c r="C59" s="4">
        <v>15419.871460666996</v>
      </c>
    </row>
    <row r="60" spans="1:3">
      <c r="A60" s="4">
        <v>36</v>
      </c>
      <c r="B60" s="4">
        <v>819353.04173626413</v>
      </c>
      <c r="C60" s="4">
        <v>-18373.261736264103</v>
      </c>
    </row>
    <row r="61" spans="1:3">
      <c r="A61" s="4">
        <v>37</v>
      </c>
      <c r="B61" s="4">
        <v>761733.0215539498</v>
      </c>
      <c r="C61" s="4">
        <v>58860.908446050249</v>
      </c>
    </row>
    <row r="62" spans="1:3">
      <c r="A62" s="4">
        <v>38</v>
      </c>
      <c r="B62" s="4">
        <v>737400.6043624091</v>
      </c>
      <c r="C62" s="4">
        <v>-19070.074362409068</v>
      </c>
    </row>
    <row r="63" spans="1:3">
      <c r="A63" s="4">
        <v>39</v>
      </c>
      <c r="B63" s="4">
        <v>716207.85390526056</v>
      </c>
      <c r="C63" s="4">
        <v>20425.54609473946</v>
      </c>
    </row>
    <row r="64" spans="1:3">
      <c r="A64" s="4">
        <v>40</v>
      </c>
      <c r="B64" s="4">
        <v>788848.32516915654</v>
      </c>
      <c r="C64" s="4">
        <v>39775.524830843438</v>
      </c>
    </row>
    <row r="65" spans="1:3">
      <c r="A65" s="4">
        <v>41</v>
      </c>
      <c r="B65" s="4">
        <v>576992.17665981757</v>
      </c>
      <c r="C65" s="4">
        <v>15203.673340182402</v>
      </c>
    </row>
    <row r="66" spans="1:3">
      <c r="A66" s="4">
        <v>42</v>
      </c>
      <c r="B66" s="4">
        <v>561543.58920536423</v>
      </c>
      <c r="C66" s="4">
        <v>-28899.129205364268</v>
      </c>
    </row>
    <row r="67" spans="1:3">
      <c r="A67" s="4">
        <v>43</v>
      </c>
      <c r="B67" s="4">
        <v>566288.76733802538</v>
      </c>
      <c r="C67" s="4">
        <v>91140.412661974668</v>
      </c>
    </row>
    <row r="68" spans="1:3">
      <c r="A68" s="4">
        <v>44</v>
      </c>
      <c r="B68" s="4">
        <v>576349.97210051003</v>
      </c>
      <c r="C68" s="4">
        <v>28828.027899489971</v>
      </c>
    </row>
    <row r="69" spans="1:3">
      <c r="A69" s="4">
        <v>45</v>
      </c>
      <c r="B69" s="4">
        <v>629974.05280268856</v>
      </c>
      <c r="C69" s="4">
        <v>-34506.452802688582</v>
      </c>
    </row>
    <row r="70" spans="1:3">
      <c r="A70" s="4">
        <v>46</v>
      </c>
      <c r="B70" s="4">
        <v>605534.60151792993</v>
      </c>
      <c r="C70" s="4">
        <v>-5931.2015179299051</v>
      </c>
    </row>
    <row r="71" spans="1:3">
      <c r="A71" s="4">
        <v>47</v>
      </c>
      <c r="B71" s="4">
        <v>582129.81313427771</v>
      </c>
      <c r="C71" s="4">
        <v>32670.276865722262</v>
      </c>
    </row>
    <row r="72" spans="1:3">
      <c r="A72" s="4">
        <v>48</v>
      </c>
      <c r="B72" s="4">
        <v>591762.88152389065</v>
      </c>
      <c r="C72" s="4">
        <v>-6397.1515238906723</v>
      </c>
    </row>
    <row r="73" spans="1:3">
      <c r="A73" s="4">
        <v>49</v>
      </c>
      <c r="B73" s="4">
        <v>628511.25352871034</v>
      </c>
      <c r="C73" s="4">
        <v>-5699.5135287103476</v>
      </c>
    </row>
    <row r="74" spans="1:3">
      <c r="A74" s="4">
        <v>50</v>
      </c>
      <c r="B74" s="4">
        <v>644744.75766676175</v>
      </c>
      <c r="C74" s="4">
        <v>-41447.187666761805</v>
      </c>
    </row>
    <row r="75" spans="1:3">
      <c r="A75" s="4">
        <v>51</v>
      </c>
      <c r="B75" s="4">
        <v>630152.4429580518</v>
      </c>
      <c r="C75" s="4">
        <v>-4479.5829580518184</v>
      </c>
    </row>
    <row r="76" spans="1:3">
      <c r="A76" s="4">
        <v>52</v>
      </c>
      <c r="B76" s="4">
        <v>702899.9483151657</v>
      </c>
      <c r="C76" s="4">
        <v>70915.19168483431</v>
      </c>
    </row>
    <row r="77" spans="1:3">
      <c r="A77" s="4">
        <v>53</v>
      </c>
      <c r="B77" s="4">
        <v>563398.84682114155</v>
      </c>
      <c r="C77" s="4">
        <v>-99864.596821141546</v>
      </c>
    </row>
    <row r="78" spans="1:3">
      <c r="A78" s="4">
        <v>54</v>
      </c>
      <c r="B78" s="4">
        <v>656447.15185858775</v>
      </c>
      <c r="C78" s="4">
        <v>90230.598141412251</v>
      </c>
    </row>
    <row r="79" spans="1:3">
      <c r="A79" s="4">
        <v>55</v>
      </c>
      <c r="B79" s="4">
        <v>643210.60233063821</v>
      </c>
      <c r="C79" s="4">
        <v>77641.897669361788</v>
      </c>
    </row>
    <row r="80" spans="1:3">
      <c r="A80" s="4">
        <v>56</v>
      </c>
      <c r="B80" s="4">
        <v>548556.78589492303</v>
      </c>
      <c r="C80" s="4">
        <v>-61091.875894923054</v>
      </c>
    </row>
    <row r="81" spans="1:3">
      <c r="A81" s="4">
        <v>57</v>
      </c>
      <c r="B81" s="4">
        <v>531252.94082469249</v>
      </c>
      <c r="C81" s="4">
        <v>-13203.680824692477</v>
      </c>
    </row>
    <row r="82" spans="1:3">
      <c r="A82" s="4">
        <v>58</v>
      </c>
      <c r="B82" s="4">
        <v>536140.83108164417</v>
      </c>
      <c r="C82" s="4">
        <v>-35842.351081644185</v>
      </c>
    </row>
    <row r="83" spans="1:3">
      <c r="A83" s="4">
        <v>59</v>
      </c>
      <c r="B83" s="4">
        <v>589907.62390811334</v>
      </c>
      <c r="C83" s="4">
        <v>27383.526091886684</v>
      </c>
    </row>
    <row r="84" spans="1:3">
      <c r="A84" s="4">
        <v>60</v>
      </c>
      <c r="B84" s="4">
        <v>602573.32493890077</v>
      </c>
      <c r="C84" s="4">
        <v>-48816.894938900718</v>
      </c>
    </row>
    <row r="85" spans="1:3">
      <c r="A85" s="4">
        <v>61</v>
      </c>
      <c r="B85" s="4">
        <v>635718.21580538375</v>
      </c>
      <c r="C85" s="4">
        <v>113841.49419461621</v>
      </c>
    </row>
    <row r="86" spans="1:3">
      <c r="A86" s="4">
        <v>62</v>
      </c>
      <c r="B86" s="4">
        <v>586553.8889872852</v>
      </c>
      <c r="C86" s="4">
        <v>29412.59101271478</v>
      </c>
    </row>
    <row r="87" spans="1:3">
      <c r="A87" s="4">
        <v>63</v>
      </c>
      <c r="B87" s="4">
        <v>583592.61240825604</v>
      </c>
      <c r="C87" s="4">
        <v>-11581.412408256088</v>
      </c>
    </row>
    <row r="88" spans="1:3">
      <c r="A88" s="4">
        <v>64</v>
      </c>
      <c r="B88" s="4">
        <v>682599.14863483328</v>
      </c>
      <c r="C88" s="4">
        <v>79261.04136516666</v>
      </c>
    </row>
    <row r="89" spans="1:3">
      <c r="A89" s="4">
        <v>65</v>
      </c>
      <c r="B89" s="4">
        <v>773756.51802542969</v>
      </c>
      <c r="C89" s="4">
        <v>10746.161974570365</v>
      </c>
    </row>
    <row r="90" spans="1:3">
      <c r="A90" s="4">
        <v>66</v>
      </c>
      <c r="B90" s="4">
        <v>729694.14965071867</v>
      </c>
      <c r="C90" s="4">
        <v>-12552.599650718621</v>
      </c>
    </row>
    <row r="91" spans="1:3">
      <c r="A91" s="4">
        <v>67</v>
      </c>
      <c r="B91" s="4">
        <v>789918.66610133578</v>
      </c>
      <c r="C91" s="4">
        <v>-104539.58610133582</v>
      </c>
    </row>
    <row r="92" spans="1:3">
      <c r="A92" s="4">
        <v>68</v>
      </c>
      <c r="B92" s="4">
        <v>742395.5287125787</v>
      </c>
      <c r="C92" s="4">
        <v>-1898.8787125786766</v>
      </c>
    </row>
    <row r="93" spans="1:3">
      <c r="A93" s="4">
        <v>69</v>
      </c>
      <c r="B93" s="4">
        <v>574673.10464009584</v>
      </c>
      <c r="C93" s="4">
        <v>87254.03535990417</v>
      </c>
    </row>
    <row r="94" spans="1:3">
      <c r="A94" s="4">
        <v>70</v>
      </c>
      <c r="B94" s="4">
        <v>547522.12299381651</v>
      </c>
      <c r="C94" s="4">
        <v>-68471.622993816505</v>
      </c>
    </row>
    <row r="95" spans="1:3">
      <c r="A95" s="4">
        <v>71</v>
      </c>
      <c r="B95" s="4">
        <v>560330.53614889446</v>
      </c>
      <c r="C95" s="4">
        <v>44693.333851105534</v>
      </c>
    </row>
    <row r="96" spans="1:3">
      <c r="A96" s="4">
        <v>72</v>
      </c>
      <c r="B96" s="4">
        <v>642104.58336738637</v>
      </c>
      <c r="C96" s="4">
        <v>32669.5066326136</v>
      </c>
    </row>
    <row r="97" spans="1:3">
      <c r="A97" s="4">
        <v>73</v>
      </c>
      <c r="B97" s="4">
        <v>657553.17082183971</v>
      </c>
      <c r="C97" s="4">
        <v>-41483.760821839678</v>
      </c>
    </row>
    <row r="98" spans="1:3">
      <c r="A98" s="4">
        <v>74</v>
      </c>
      <c r="B98" s="4">
        <v>689770.43288043397</v>
      </c>
      <c r="C98" s="4">
        <v>-58940.492880434031</v>
      </c>
    </row>
    <row r="99" spans="1:3">
      <c r="A99" s="4">
        <v>75</v>
      </c>
      <c r="B99" s="4">
        <v>689235.26241434435</v>
      </c>
      <c r="C99" s="4">
        <v>98852.417585655698</v>
      </c>
    </row>
    <row r="100" spans="1:3">
      <c r="A100" s="4">
        <v>76</v>
      </c>
      <c r="B100" s="4">
        <v>740825.69534538244</v>
      </c>
      <c r="C100" s="4">
        <v>-59985.335345382453</v>
      </c>
    </row>
    <row r="101" spans="1:3">
      <c r="A101" s="4">
        <v>77</v>
      </c>
      <c r="B101" s="4">
        <v>684097.62593988422</v>
      </c>
      <c r="C101" s="4">
        <v>-40440.155939884251</v>
      </c>
    </row>
    <row r="102" spans="1:3">
      <c r="A102" s="4">
        <v>78</v>
      </c>
      <c r="B102" s="4">
        <v>659123.00418903586</v>
      </c>
      <c r="C102" s="4">
        <v>31989.595810964121</v>
      </c>
    </row>
    <row r="103" spans="1:3">
      <c r="A103" s="4">
        <v>79</v>
      </c>
      <c r="B103" s="4">
        <v>712925.47504657763</v>
      </c>
      <c r="C103" s="4">
        <v>63996.694953422411</v>
      </c>
    </row>
    <row r="104" spans="1:3">
      <c r="A104" s="4">
        <v>80</v>
      </c>
      <c r="B104" s="4">
        <v>659551.14056190755</v>
      </c>
      <c r="C104" s="4">
        <v>-22989.800561907585</v>
      </c>
    </row>
    <row r="105" spans="1:3">
      <c r="A105" s="4">
        <v>81</v>
      </c>
      <c r="B105" s="4">
        <v>639428.73103693826</v>
      </c>
      <c r="C105" s="4">
        <v>-18059.151036938303</v>
      </c>
    </row>
    <row r="106" spans="1:3">
      <c r="A106" s="4">
        <v>82</v>
      </c>
      <c r="B106" s="4">
        <v>605213.49923827616</v>
      </c>
      <c r="C106" s="4">
        <v>76994.510761723854</v>
      </c>
    </row>
    <row r="107" spans="1:3">
      <c r="A107" s="4">
        <v>83</v>
      </c>
      <c r="B107" s="4">
        <v>612099.35923529579</v>
      </c>
      <c r="C107" s="4">
        <v>115142.50076470419</v>
      </c>
    </row>
    <row r="108" spans="1:3">
      <c r="A108" s="4">
        <v>84</v>
      </c>
      <c r="B108" s="4">
        <v>573388.69552148087</v>
      </c>
      <c r="C108" s="4">
        <v>-4287.9155214808416</v>
      </c>
    </row>
    <row r="109" spans="1:3">
      <c r="A109" s="4">
        <v>85</v>
      </c>
      <c r="B109" s="4">
        <v>556691.37697948515</v>
      </c>
      <c r="C109" s="4">
        <v>17744.913020514883</v>
      </c>
    </row>
    <row r="110" spans="1:3">
      <c r="A110" s="4">
        <v>86</v>
      </c>
      <c r="B110" s="4">
        <v>589265.41934880579</v>
      </c>
      <c r="C110" s="4">
        <v>22501.300651194178</v>
      </c>
    </row>
    <row r="111" spans="1:3">
      <c r="A111" s="4">
        <v>87</v>
      </c>
      <c r="B111" s="4">
        <v>581558.96463711548</v>
      </c>
      <c r="C111" s="4">
        <v>33037.355362884467</v>
      </c>
    </row>
    <row r="112" spans="1:3">
      <c r="A112" s="4">
        <v>88</v>
      </c>
      <c r="B112" s="4">
        <v>491364.9020854804</v>
      </c>
      <c r="C112" s="4">
        <v>-40652.982085480413</v>
      </c>
    </row>
    <row r="113" spans="1:3">
      <c r="A113" s="4">
        <v>89</v>
      </c>
      <c r="B113" s="4">
        <v>697013.07318817999</v>
      </c>
      <c r="C113" s="4">
        <v>14200.386811819975</v>
      </c>
    </row>
    <row r="114" spans="1:3">
      <c r="A114" s="4">
        <v>90</v>
      </c>
      <c r="B114" s="4">
        <v>639071.95072621189</v>
      </c>
      <c r="C114" s="4">
        <v>-11900.050726211863</v>
      </c>
    </row>
    <row r="115" spans="1:3">
      <c r="A115" s="4">
        <v>91</v>
      </c>
      <c r="B115" s="4">
        <v>660050.63299692445</v>
      </c>
      <c r="C115" s="4">
        <v>79801.947003075504</v>
      </c>
    </row>
    <row r="116" spans="1:3">
      <c r="A116" s="4">
        <v>92</v>
      </c>
      <c r="B116" s="4">
        <v>578454.97593379579</v>
      </c>
      <c r="C116" s="4">
        <v>7852.2440662041772</v>
      </c>
    </row>
    <row r="117" spans="1:3">
      <c r="A117" s="4">
        <v>93</v>
      </c>
      <c r="B117" s="4">
        <v>607282.8250404892</v>
      </c>
      <c r="C117" s="4">
        <v>-21345.345040489221</v>
      </c>
    </row>
    <row r="118" spans="1:3">
      <c r="A118" s="4">
        <v>94</v>
      </c>
      <c r="B118" s="4">
        <v>677497.19019144564</v>
      </c>
      <c r="C118" s="4">
        <v>75976.359808554407</v>
      </c>
    </row>
    <row r="119" spans="1:3">
      <c r="A119" s="4">
        <v>95</v>
      </c>
      <c r="B119" s="4">
        <v>730764.49058289791</v>
      </c>
      <c r="C119" s="4">
        <v>107485.82941710204</v>
      </c>
    </row>
    <row r="120" spans="1:3">
      <c r="A120" s="4">
        <v>96</v>
      </c>
      <c r="B120" s="4">
        <v>662512.41714093671</v>
      </c>
      <c r="C120" s="4">
        <v>-54614.297140936716</v>
      </c>
    </row>
    <row r="121" spans="1:3">
      <c r="A121" s="4">
        <v>97</v>
      </c>
      <c r="B121" s="4">
        <v>674535.91361241648</v>
      </c>
      <c r="C121" s="4">
        <v>16577.706387583516</v>
      </c>
    </row>
    <row r="122" spans="1:3">
      <c r="A122" s="4">
        <v>98</v>
      </c>
      <c r="B122" s="4">
        <v>630152.4429580518</v>
      </c>
      <c r="C122" s="4">
        <v>105356.95704194822</v>
      </c>
    </row>
    <row r="123" spans="1:3">
      <c r="A123" s="4">
        <v>99</v>
      </c>
      <c r="B123" s="4">
        <v>614525.46534823533</v>
      </c>
      <c r="C123" s="4">
        <v>-8750.1353482353734</v>
      </c>
    </row>
    <row r="124" spans="1:3">
      <c r="A124" s="4">
        <v>100</v>
      </c>
      <c r="B124" s="4">
        <v>634826.26502856775</v>
      </c>
      <c r="C124" s="4">
        <v>40351.414971432299</v>
      </c>
    </row>
    <row r="125" spans="1:3">
      <c r="A125" s="4">
        <v>101</v>
      </c>
      <c r="B125" s="4">
        <v>576349.97210051003</v>
      </c>
      <c r="C125" s="4">
        <v>58831.377899489948</v>
      </c>
    </row>
    <row r="126" spans="1:3">
      <c r="A126" s="4">
        <v>102</v>
      </c>
      <c r="B126" s="4">
        <v>602430.61281461013</v>
      </c>
      <c r="C126" s="4">
        <v>-15803.672814610181</v>
      </c>
    </row>
    <row r="127" spans="1:3">
      <c r="A127" s="4">
        <v>103</v>
      </c>
      <c r="B127" s="4">
        <v>690162.89122223307</v>
      </c>
      <c r="C127" s="4">
        <v>49939.748777766945</v>
      </c>
    </row>
    <row r="128" spans="1:3">
      <c r="A128" s="4">
        <v>104</v>
      </c>
      <c r="B128" s="4">
        <v>532537.34994330746</v>
      </c>
      <c r="C128" s="4">
        <v>92976.690056692576</v>
      </c>
    </row>
    <row r="129" spans="1:3">
      <c r="A129" s="4">
        <v>105</v>
      </c>
      <c r="B129" s="4">
        <v>709500.38406360417</v>
      </c>
      <c r="C129" s="4">
        <v>17726.815936395782</v>
      </c>
    </row>
    <row r="130" spans="1:3">
      <c r="A130" s="4">
        <v>106</v>
      </c>
      <c r="B130" s="4">
        <v>758200.89647775842</v>
      </c>
      <c r="C130" s="4">
        <v>25596.993522241595</v>
      </c>
    </row>
    <row r="131" spans="1:3">
      <c r="A131" s="4">
        <v>107</v>
      </c>
      <c r="B131" s="4">
        <v>695871.37619385554</v>
      </c>
      <c r="C131" s="4">
        <v>99282.463806144428</v>
      </c>
    </row>
    <row r="132" spans="1:3">
      <c r="A132" s="4">
        <v>108</v>
      </c>
      <c r="B132" s="4">
        <v>699974.34976720915</v>
      </c>
      <c r="C132" s="4">
        <v>-34379.409767209203</v>
      </c>
    </row>
    <row r="133" spans="1:3">
      <c r="A133" s="4">
        <v>109</v>
      </c>
      <c r="B133" s="4">
        <v>695264.8496656206</v>
      </c>
      <c r="C133" s="4">
        <v>14213.540334379417</v>
      </c>
    </row>
    <row r="134" spans="1:3">
      <c r="A134" s="4">
        <v>110</v>
      </c>
      <c r="B134" s="4">
        <v>642390.00761596742</v>
      </c>
      <c r="C134" s="4">
        <v>21772.48238403257</v>
      </c>
    </row>
    <row r="135" spans="1:3">
      <c r="A135" s="4">
        <v>111</v>
      </c>
      <c r="B135" s="4">
        <v>649275.86761298706</v>
      </c>
      <c r="C135" s="4">
        <v>-15781.657612987095</v>
      </c>
    </row>
    <row r="136" spans="1:3">
      <c r="A136" s="4">
        <v>112</v>
      </c>
      <c r="B136" s="4">
        <v>591370.42318209168</v>
      </c>
      <c r="C136" s="4">
        <v>122240.73681790836</v>
      </c>
    </row>
    <row r="137" spans="1:3">
      <c r="A137" s="4">
        <v>113</v>
      </c>
      <c r="B137" s="4">
        <v>766299.80953124771</v>
      </c>
      <c r="C137" s="4">
        <v>12098.160468752263</v>
      </c>
    </row>
    <row r="138" spans="1:3">
      <c r="A138" s="4">
        <v>114</v>
      </c>
      <c r="B138" s="4">
        <v>784959.41978223878</v>
      </c>
      <c r="C138" s="4">
        <v>88420.600217761239</v>
      </c>
    </row>
    <row r="139" spans="1:3">
      <c r="A139" s="4">
        <v>115</v>
      </c>
      <c r="B139" s="4">
        <v>775540.41957906168</v>
      </c>
      <c r="C139" s="4">
        <v>-78252.519579061656</v>
      </c>
    </row>
    <row r="140" spans="1:3">
      <c r="A140" s="4">
        <v>116</v>
      </c>
      <c r="B140" s="4">
        <v>776396.69232480507</v>
      </c>
      <c r="C140" s="4">
        <v>-58321.902324805036</v>
      </c>
    </row>
    <row r="141" spans="1:3">
      <c r="A141" s="4">
        <v>117</v>
      </c>
      <c r="B141" s="4">
        <v>725448.46395307453</v>
      </c>
      <c r="C141" s="4">
        <v>-10506.033953074482</v>
      </c>
    </row>
    <row r="142" spans="1:3">
      <c r="A142" s="4">
        <v>118</v>
      </c>
      <c r="B142" s="4">
        <v>747319.0970006031</v>
      </c>
      <c r="C142" s="4">
        <v>73199.942999396939</v>
      </c>
    </row>
    <row r="143" spans="1:3">
      <c r="A143" s="4">
        <v>119</v>
      </c>
      <c r="B143" s="4">
        <v>750101.98342426901</v>
      </c>
      <c r="C143" s="4">
        <v>-65884.663424269063</v>
      </c>
    </row>
    <row r="144" spans="1:3">
      <c r="A144" s="4">
        <v>120</v>
      </c>
      <c r="B144" s="4">
        <v>725270.07379771117</v>
      </c>
      <c r="C144" s="4">
        <v>10210.116202288773</v>
      </c>
    </row>
    <row r="145" spans="1:3">
      <c r="A145" s="4">
        <v>121</v>
      </c>
      <c r="B145" s="4">
        <v>583878.0366568371</v>
      </c>
      <c r="C145" s="4">
        <v>-74393.226656837098</v>
      </c>
    </row>
    <row r="146" spans="1:3">
      <c r="A146" s="4">
        <v>122</v>
      </c>
      <c r="B146" s="4">
        <v>578205.22971628723</v>
      </c>
      <c r="C146" s="4">
        <v>76111.86028371274</v>
      </c>
    </row>
    <row r="147" spans="1:3">
      <c r="A147" s="4">
        <v>123</v>
      </c>
      <c r="B147" s="4">
        <v>604214.51436824212</v>
      </c>
      <c r="C147" s="4">
        <v>-46727.254368242109</v>
      </c>
    </row>
    <row r="148" spans="1:3">
      <c r="A148" s="4">
        <v>124</v>
      </c>
      <c r="B148" s="4">
        <v>514412.91015840613</v>
      </c>
      <c r="C148" s="4">
        <v>-73137.490158406144</v>
      </c>
    </row>
    <row r="149" spans="1:3">
      <c r="A149" s="4">
        <v>125</v>
      </c>
      <c r="B149" s="4">
        <v>817319.39396512369</v>
      </c>
      <c r="C149" s="4">
        <v>97224.776034876355</v>
      </c>
    </row>
    <row r="150" spans="1:3">
      <c r="A150" s="4">
        <v>126</v>
      </c>
      <c r="B150" s="4">
        <v>841580.45509451907</v>
      </c>
      <c r="C150" s="4">
        <v>859.21490548097063</v>
      </c>
    </row>
    <row r="151" spans="1:3">
      <c r="A151" s="4">
        <v>127</v>
      </c>
      <c r="B151" s="4">
        <v>787992.05242341314</v>
      </c>
      <c r="C151" s="4">
        <v>54165.867576586897</v>
      </c>
    </row>
    <row r="152" spans="1:3">
      <c r="A152" s="4">
        <v>128</v>
      </c>
      <c r="B152" s="4">
        <v>739719.67638213071</v>
      </c>
      <c r="C152" s="4">
        <v>-42564.376382130664</v>
      </c>
    </row>
    <row r="153" spans="1:3">
      <c r="A153" s="4">
        <v>129</v>
      </c>
      <c r="B153" s="4">
        <v>825239.91686324985</v>
      </c>
      <c r="C153" s="4">
        <v>23778.383136750199</v>
      </c>
    </row>
    <row r="154" spans="1:3">
      <c r="A154" s="4">
        <v>130</v>
      </c>
      <c r="B154" s="4">
        <v>824455.00017965166</v>
      </c>
      <c r="C154" s="4">
        <v>-22624.650179651682</v>
      </c>
    </row>
    <row r="155" spans="1:3">
      <c r="A155" s="4">
        <v>131</v>
      </c>
      <c r="B155" s="4">
        <v>789597.56382168201</v>
      </c>
      <c r="C155" s="4">
        <v>-64362.28382168198</v>
      </c>
    </row>
    <row r="156" spans="1:3">
      <c r="A156" s="4">
        <v>132</v>
      </c>
      <c r="B156" s="4">
        <v>833017.72763708537</v>
      </c>
      <c r="C156" s="4">
        <v>-21565.007637085393</v>
      </c>
    </row>
    <row r="157" spans="1:3">
      <c r="A157" s="4">
        <v>133</v>
      </c>
      <c r="B157" s="4">
        <v>554978.83148799837</v>
      </c>
      <c r="C157" s="4">
        <v>-27678.701487998362</v>
      </c>
    </row>
    <row r="158" spans="1:3">
      <c r="A158" s="4">
        <v>134</v>
      </c>
      <c r="B158" s="4">
        <v>511130.53129972325</v>
      </c>
      <c r="C158" s="4">
        <v>-110298.88129972323</v>
      </c>
    </row>
    <row r="159" spans="1:3">
      <c r="A159" s="4">
        <v>135</v>
      </c>
      <c r="B159" s="4">
        <v>575493.69935476664</v>
      </c>
      <c r="C159" s="4">
        <v>17753.550645233365</v>
      </c>
    </row>
    <row r="160" spans="1:3">
      <c r="A160" s="4">
        <v>136</v>
      </c>
      <c r="B160" s="4">
        <v>516446.55792954669</v>
      </c>
      <c r="C160" s="4">
        <v>12629.392070453265</v>
      </c>
    </row>
    <row r="161" spans="1:3">
      <c r="A161" s="4">
        <v>137</v>
      </c>
      <c r="B161" s="4">
        <v>727838.89203494135</v>
      </c>
      <c r="C161" s="4">
        <v>-94200.862034941325</v>
      </c>
    </row>
    <row r="162" spans="1:3">
      <c r="A162" s="4">
        <v>138</v>
      </c>
      <c r="B162" s="4">
        <v>669184.2089515205</v>
      </c>
      <c r="C162" s="4">
        <v>74164.631048479467</v>
      </c>
    </row>
    <row r="163" spans="1:3">
      <c r="A163" s="4">
        <v>139</v>
      </c>
      <c r="B163" s="4">
        <v>679887.61827331258</v>
      </c>
      <c r="C163" s="4">
        <v>78940.021726687439</v>
      </c>
    </row>
    <row r="164" spans="1:3">
      <c r="A164" s="4">
        <v>140</v>
      </c>
      <c r="B164" s="4">
        <v>641391.0227459335</v>
      </c>
      <c r="C164" s="4">
        <v>5168.6872540664626</v>
      </c>
    </row>
    <row r="165" spans="1:3">
      <c r="A165" s="4">
        <v>141</v>
      </c>
      <c r="B165" s="4">
        <v>675713.28863781365</v>
      </c>
      <c r="C165" s="4">
        <v>40177.241362186382</v>
      </c>
    </row>
    <row r="166" spans="1:3">
      <c r="A166" s="4">
        <v>142</v>
      </c>
      <c r="B166" s="4">
        <v>685596.10324493505</v>
      </c>
      <c r="C166" s="4">
        <v>29501.466755064903</v>
      </c>
    </row>
    <row r="167" spans="1:3">
      <c r="A167" s="4">
        <v>143</v>
      </c>
      <c r="B167" s="4">
        <v>647813.06833900884</v>
      </c>
      <c r="C167" s="4">
        <v>34826.21166099119</v>
      </c>
    </row>
    <row r="168" spans="1:3">
      <c r="A168" s="4">
        <v>144</v>
      </c>
      <c r="B168" s="4">
        <v>663654.11413526116</v>
      </c>
      <c r="C168" s="4">
        <v>31444.39586473885</v>
      </c>
    </row>
    <row r="169" spans="1:3">
      <c r="A169" s="4">
        <v>145</v>
      </c>
      <c r="B169" s="4">
        <v>600254.25291917915</v>
      </c>
      <c r="C169" s="4">
        <v>-22521.682919179206</v>
      </c>
    </row>
    <row r="170" spans="1:3">
      <c r="A170" s="4">
        <v>146</v>
      </c>
      <c r="B170" s="4">
        <v>558867.73687491613</v>
      </c>
      <c r="C170" s="4">
        <v>-21809.406874916167</v>
      </c>
    </row>
    <row r="171" spans="1:3">
      <c r="A171" s="4">
        <v>147</v>
      </c>
      <c r="B171" s="4">
        <v>598363.31727232912</v>
      </c>
      <c r="C171" s="4">
        <v>3205.5527276708744</v>
      </c>
    </row>
    <row r="172" spans="1:3">
      <c r="A172" s="4">
        <v>148</v>
      </c>
      <c r="B172" s="4">
        <v>565931.98702729901</v>
      </c>
      <c r="C172" s="4">
        <v>5032.8529727009591</v>
      </c>
    </row>
    <row r="173" spans="1:3">
      <c r="A173" s="4">
        <v>149</v>
      </c>
      <c r="B173" s="4">
        <v>636538.81052005442</v>
      </c>
      <c r="C173" s="4">
        <v>-22513.900520054391</v>
      </c>
    </row>
    <row r="174" spans="1:3">
      <c r="A174" s="4">
        <v>150</v>
      </c>
      <c r="B174" s="4">
        <v>680137.36449082103</v>
      </c>
      <c r="C174" s="4">
        <v>32730.98550917895</v>
      </c>
    </row>
    <row r="175" spans="1:3">
      <c r="A175" s="4">
        <v>151</v>
      </c>
      <c r="B175" s="4">
        <v>644423.65538710798</v>
      </c>
      <c r="C175" s="4">
        <v>52320.494612892042</v>
      </c>
    </row>
    <row r="176" spans="1:3">
      <c r="A176" s="4">
        <v>152</v>
      </c>
      <c r="B176" s="4">
        <v>657303.42460433114</v>
      </c>
      <c r="C176" s="4">
        <v>68544.565395668847</v>
      </c>
    </row>
    <row r="177" spans="1:3">
      <c r="A177" s="4">
        <v>153</v>
      </c>
      <c r="B177" s="4">
        <v>791559.85553067725</v>
      </c>
      <c r="C177" s="4">
        <v>-6531.6055306772469</v>
      </c>
    </row>
    <row r="178" spans="1:3">
      <c r="A178" s="4">
        <v>154</v>
      </c>
      <c r="B178" s="4">
        <v>686880.51236355014</v>
      </c>
      <c r="C178" s="4">
        <v>11612.157636449905</v>
      </c>
    </row>
    <row r="179" spans="1:3">
      <c r="A179" s="4">
        <v>155</v>
      </c>
      <c r="B179" s="4">
        <v>722736.93359155371</v>
      </c>
      <c r="C179" s="4">
        <v>-36906.693591553718</v>
      </c>
    </row>
    <row r="180" spans="1:3">
      <c r="A180" s="4">
        <v>156</v>
      </c>
      <c r="B180" s="4">
        <v>720881.67597577651</v>
      </c>
      <c r="C180" s="4">
        <v>-18562.735975776566</v>
      </c>
    </row>
    <row r="181" spans="1:3">
      <c r="A181" s="4">
        <v>157</v>
      </c>
      <c r="B181" s="4">
        <v>675606.25454459572</v>
      </c>
      <c r="C181" s="4">
        <v>24472.065455404227</v>
      </c>
    </row>
    <row r="182" spans="1:3">
      <c r="A182" s="4">
        <v>158</v>
      </c>
      <c r="B182" s="4">
        <v>639071.95072621189</v>
      </c>
      <c r="C182" s="4">
        <v>-37069.630726211937</v>
      </c>
    </row>
    <row r="183" spans="1:3">
      <c r="A183" s="4">
        <v>159</v>
      </c>
      <c r="B183" s="4">
        <v>696691.97090852621</v>
      </c>
      <c r="C183" s="4">
        <v>27524.099091473734</v>
      </c>
    </row>
    <row r="184" spans="1:3">
      <c r="A184" s="4">
        <v>160</v>
      </c>
      <c r="B184" s="4">
        <v>583663.96847040125</v>
      </c>
      <c r="C184" s="4">
        <v>37309.061529598781</v>
      </c>
    </row>
    <row r="185" spans="1:3">
      <c r="A185" s="4">
        <v>161</v>
      </c>
      <c r="B185" s="4">
        <v>712390.30458048801</v>
      </c>
      <c r="C185" s="4">
        <v>-61910.244580487953</v>
      </c>
    </row>
    <row r="186" spans="1:3">
      <c r="A186" s="4">
        <v>162</v>
      </c>
      <c r="B186" s="4">
        <v>695871.37619385554</v>
      </c>
      <c r="C186" s="4">
        <v>82427.503806144465</v>
      </c>
    </row>
    <row r="187" spans="1:3">
      <c r="A187" s="4">
        <v>163</v>
      </c>
      <c r="B187" s="4">
        <v>733190.59669583745</v>
      </c>
      <c r="C187" s="4">
        <v>-56093.886695837486</v>
      </c>
    </row>
    <row r="188" spans="1:3">
      <c r="A188" s="4">
        <v>164</v>
      </c>
      <c r="B188" s="4">
        <v>662441.06107879139</v>
      </c>
      <c r="C188" s="4">
        <v>29567.578921208624</v>
      </c>
    </row>
    <row r="189" spans="1:3">
      <c r="A189" s="4">
        <v>165</v>
      </c>
      <c r="B189" s="4">
        <v>779036.86662418046</v>
      </c>
      <c r="C189" s="4">
        <v>46761.043375819572</v>
      </c>
    </row>
    <row r="190" spans="1:3">
      <c r="A190" s="4">
        <v>166</v>
      </c>
      <c r="B190" s="4">
        <v>759984.79803139041</v>
      </c>
      <c r="C190" s="4">
        <v>-53699.278031390393</v>
      </c>
    </row>
    <row r="191" spans="1:3">
      <c r="A191" s="4">
        <v>167</v>
      </c>
      <c r="B191" s="4">
        <v>693980.44054700551</v>
      </c>
      <c r="C191" s="4">
        <v>-28445.740547005553</v>
      </c>
    </row>
    <row r="192" spans="1:3">
      <c r="A192" s="4">
        <v>168</v>
      </c>
      <c r="B192" s="4">
        <v>783211.19625967939</v>
      </c>
      <c r="C192" s="4">
        <v>37518.093740320648</v>
      </c>
    </row>
    <row r="193" spans="1:3">
      <c r="A193" s="4">
        <v>169</v>
      </c>
      <c r="B193" s="4">
        <v>780856.44620888517</v>
      </c>
      <c r="C193" s="4">
        <v>-41024.716208885191</v>
      </c>
    </row>
    <row r="194" spans="1:3">
      <c r="A194" s="4">
        <v>170</v>
      </c>
      <c r="B194" s="4">
        <v>716707.34634027747</v>
      </c>
      <c r="C194" s="4">
        <v>-123070.20634027745</v>
      </c>
    </row>
    <row r="195" spans="1:3">
      <c r="A195" s="4">
        <v>171</v>
      </c>
      <c r="B195" s="4">
        <v>765693.28300301288</v>
      </c>
      <c r="C195" s="4">
        <v>4009.4769969871268</v>
      </c>
    </row>
    <row r="196" spans="1:3">
      <c r="A196" s="4">
        <v>172</v>
      </c>
      <c r="B196" s="4">
        <v>720096.75929217832</v>
      </c>
      <c r="C196" s="4">
        <v>-40365.189292178373</v>
      </c>
    </row>
    <row r="197" spans="1:3">
      <c r="A197" s="4">
        <v>173</v>
      </c>
      <c r="B197" s="4">
        <v>758272.25253990362</v>
      </c>
      <c r="C197" s="4">
        <v>22071.927460096427</v>
      </c>
    </row>
    <row r="198" spans="1:3">
      <c r="A198" s="4">
        <v>174</v>
      </c>
      <c r="B198" s="4">
        <v>784638.31750258501</v>
      </c>
      <c r="C198" s="4">
        <v>-63274.207502585021</v>
      </c>
    </row>
    <row r="199" spans="1:3">
      <c r="A199" s="4">
        <v>175</v>
      </c>
      <c r="B199" s="4">
        <v>796982.91625371855</v>
      </c>
      <c r="C199" s="4">
        <v>-38844.62625371851</v>
      </c>
    </row>
    <row r="200" spans="1:3">
      <c r="A200" s="4">
        <v>176</v>
      </c>
      <c r="B200" s="4">
        <v>817533.46215155954</v>
      </c>
      <c r="C200" s="4">
        <v>-13269.462151559535</v>
      </c>
    </row>
    <row r="201" spans="1:3">
      <c r="A201" s="4">
        <v>177</v>
      </c>
      <c r="B201" s="4">
        <v>887426.7250228622</v>
      </c>
      <c r="C201" s="4">
        <v>111.02497713780031</v>
      </c>
    </row>
    <row r="202" spans="1:3">
      <c r="A202" s="4">
        <v>178</v>
      </c>
      <c r="B202" s="4">
        <v>729158.97918462905</v>
      </c>
      <c r="C202" s="4">
        <v>54423.020815370954</v>
      </c>
    </row>
    <row r="203" spans="1:3">
      <c r="A203" s="4">
        <v>179</v>
      </c>
      <c r="B203" s="4">
        <v>762874.71854827437</v>
      </c>
      <c r="C203" s="4">
        <v>19080.801451725652</v>
      </c>
    </row>
    <row r="204" spans="1:3">
      <c r="A204" s="4">
        <v>180</v>
      </c>
      <c r="B204" s="4">
        <v>803155.21562928543</v>
      </c>
      <c r="C204" s="4">
        <v>94875.824370714603</v>
      </c>
    </row>
    <row r="205" spans="1:3">
      <c r="A205" s="4">
        <v>181</v>
      </c>
      <c r="B205" s="4">
        <v>844363.3415181851</v>
      </c>
      <c r="C205" s="4">
        <v>10977.938481814926</v>
      </c>
    </row>
    <row r="206" spans="1:3">
      <c r="A206" s="4">
        <v>182</v>
      </c>
      <c r="B206" s="4">
        <v>777752.45750556537</v>
      </c>
      <c r="C206" s="4">
        <v>-26358.577505565365</v>
      </c>
    </row>
    <row r="207" spans="1:3">
      <c r="A207" s="4">
        <v>183</v>
      </c>
      <c r="B207" s="4">
        <v>796483.42381870165</v>
      </c>
      <c r="C207" s="4">
        <v>-35406.343818701687</v>
      </c>
    </row>
    <row r="208" spans="1:3">
      <c r="A208" s="4">
        <v>184</v>
      </c>
      <c r="B208" s="4">
        <v>829628.31468518462</v>
      </c>
      <c r="C208" s="4">
        <v>-9967.7246851846576</v>
      </c>
    </row>
    <row r="209" spans="1:3">
      <c r="A209" s="4">
        <v>185</v>
      </c>
      <c r="B209" s="4">
        <v>663475.72397989803</v>
      </c>
      <c r="C209" s="4">
        <v>18379.836020102026</v>
      </c>
    </row>
    <row r="210" spans="1:3">
      <c r="A210" s="4">
        <v>186</v>
      </c>
      <c r="B210" s="4">
        <v>633791.60212746111</v>
      </c>
      <c r="C210" s="4">
        <v>44519.56787253893</v>
      </c>
    </row>
    <row r="211" spans="1:3">
      <c r="A211" s="4">
        <v>187</v>
      </c>
      <c r="B211" s="4">
        <v>678888.63340327865</v>
      </c>
      <c r="C211" s="4">
        <v>87018.316596721299</v>
      </c>
    </row>
    <row r="212" spans="1:3">
      <c r="A212" s="4">
        <v>188</v>
      </c>
      <c r="B212" s="4">
        <v>729408.7254021375</v>
      </c>
      <c r="C212" s="4">
        <v>-16862.345402137493</v>
      </c>
    </row>
    <row r="213" spans="1:3">
      <c r="A213" s="4">
        <v>189</v>
      </c>
      <c r="B213" s="4">
        <v>571497.75987463084</v>
      </c>
      <c r="C213" s="4">
        <v>54496.070125369122</v>
      </c>
    </row>
    <row r="214" spans="1:3">
      <c r="A214" s="4">
        <v>190</v>
      </c>
      <c r="B214" s="4">
        <v>528898.19077389815</v>
      </c>
      <c r="C214" s="4">
        <v>22064.739226101898</v>
      </c>
    </row>
    <row r="215" spans="1:3">
      <c r="A215" s="4">
        <v>191</v>
      </c>
      <c r="B215" s="4">
        <v>491650.32633406157</v>
      </c>
      <c r="C215" s="4">
        <v>-48374.736334061541</v>
      </c>
    </row>
    <row r="216" spans="1:3">
      <c r="A216" s="4">
        <v>192</v>
      </c>
      <c r="B216" s="4">
        <v>604214.51436824212</v>
      </c>
      <c r="C216" s="4">
        <v>-50202.44436824217</v>
      </c>
    </row>
    <row r="217" spans="1:3">
      <c r="A217" s="4">
        <v>193</v>
      </c>
      <c r="B217" s="4">
        <v>666793.78086965356</v>
      </c>
      <c r="C217" s="4">
        <v>-23364.930869653588</v>
      </c>
    </row>
    <row r="218" spans="1:3">
      <c r="A218" s="4">
        <v>194</v>
      </c>
      <c r="B218" s="4">
        <v>630152.4429580518</v>
      </c>
      <c r="C218" s="4">
        <v>-18228.172958051786</v>
      </c>
    </row>
    <row r="219" spans="1:3">
      <c r="A219" s="4">
        <v>195</v>
      </c>
      <c r="B219" s="4">
        <v>581380.57448175224</v>
      </c>
      <c r="C219" s="4">
        <v>-21958.554481752217</v>
      </c>
    </row>
    <row r="220" spans="1:3">
      <c r="A220" s="4">
        <v>196</v>
      </c>
      <c r="B220" s="4">
        <v>558261.2103466813</v>
      </c>
      <c r="C220" s="4">
        <v>-108796.1503466813</v>
      </c>
    </row>
    <row r="221" spans="1:3">
      <c r="A221" s="4">
        <v>197</v>
      </c>
      <c r="B221" s="4">
        <v>623730.39736497658</v>
      </c>
      <c r="C221" s="4">
        <v>67717.032635023468</v>
      </c>
    </row>
    <row r="222" spans="1:3">
      <c r="A222" s="4">
        <v>198</v>
      </c>
      <c r="B222" s="4">
        <v>602180.86659710167</v>
      </c>
      <c r="C222" s="4">
        <v>-28114.256597101688</v>
      </c>
    </row>
    <row r="223" spans="1:3">
      <c r="A223" s="4">
        <v>199</v>
      </c>
      <c r="B223" s="4">
        <v>625228.87467002741</v>
      </c>
      <c r="C223" s="4">
        <v>-46279.034670027439</v>
      </c>
    </row>
    <row r="224" spans="1:3">
      <c r="A224" s="4">
        <v>200</v>
      </c>
      <c r="B224" s="4">
        <v>645315.60616392398</v>
      </c>
      <c r="C224" s="4">
        <v>90471.033836076036</v>
      </c>
    </row>
    <row r="225" spans="1:3">
      <c r="A225" s="4">
        <v>201</v>
      </c>
      <c r="B225" s="4">
        <v>658873.2579715274</v>
      </c>
      <c r="C225" s="4">
        <v>-59968.357971527381</v>
      </c>
    </row>
    <row r="226" spans="1:3">
      <c r="A226" s="4">
        <v>202</v>
      </c>
      <c r="B226" s="4">
        <v>674357.52345705335</v>
      </c>
      <c r="C226" s="4">
        <v>113357.98654294666</v>
      </c>
    </row>
    <row r="227" spans="1:3">
      <c r="A227" s="4">
        <v>203</v>
      </c>
      <c r="B227" s="4">
        <v>692446.28521088208</v>
      </c>
      <c r="C227" s="4">
        <v>-85361.365210882039</v>
      </c>
    </row>
    <row r="228" spans="1:3">
      <c r="A228" s="4">
        <v>204</v>
      </c>
      <c r="B228" s="4">
        <v>661013.93983588577</v>
      </c>
      <c r="C228" s="4">
        <v>-10218.449835885782</v>
      </c>
    </row>
    <row r="229" spans="1:3">
      <c r="A229" s="4">
        <v>205</v>
      </c>
      <c r="B229" s="4">
        <v>784495.60537829436</v>
      </c>
      <c r="C229" s="4">
        <v>40564.914621705655</v>
      </c>
    </row>
    <row r="230" spans="1:3">
      <c r="A230" s="4">
        <v>206</v>
      </c>
      <c r="B230" s="4">
        <v>727375.07763099705</v>
      </c>
      <c r="C230" s="4">
        <v>68089.392369002919</v>
      </c>
    </row>
    <row r="231" spans="1:3">
      <c r="A231" s="4">
        <v>207</v>
      </c>
      <c r="B231" s="4">
        <v>777609.74538127473</v>
      </c>
      <c r="C231" s="4">
        <v>-105741.15538127476</v>
      </c>
    </row>
    <row r="232" spans="1:3">
      <c r="A232" s="4">
        <v>208</v>
      </c>
      <c r="B232" s="4">
        <v>742645.27493008715</v>
      </c>
      <c r="C232" s="4">
        <v>-66727.644930087146</v>
      </c>
    </row>
    <row r="233" spans="1:3">
      <c r="A233" s="4">
        <v>209</v>
      </c>
      <c r="B233" s="4">
        <v>807650.64754443802</v>
      </c>
      <c r="C233" s="4">
        <v>2795.8824555620085</v>
      </c>
    </row>
    <row r="234" spans="1:3">
      <c r="A234" s="4">
        <v>210</v>
      </c>
      <c r="B234" s="4">
        <v>783853.40081898682</v>
      </c>
      <c r="C234" s="4">
        <v>-92565.210818986874</v>
      </c>
    </row>
    <row r="235" spans="1:3">
      <c r="A235" s="4">
        <v>211</v>
      </c>
      <c r="B235" s="4">
        <v>905586.84283883614</v>
      </c>
      <c r="C235" s="4">
        <v>41246.697161163902</v>
      </c>
    </row>
    <row r="236" spans="1:3">
      <c r="A236" s="4">
        <v>212</v>
      </c>
      <c r="B236" s="4">
        <v>794342.74195434316</v>
      </c>
      <c r="C236" s="4">
        <v>-32379.511954343179</v>
      </c>
    </row>
    <row r="237" spans="1:3">
      <c r="A237" s="4">
        <v>213</v>
      </c>
      <c r="B237" s="4">
        <v>785530.268279401</v>
      </c>
      <c r="C237" s="4">
        <v>26622.331720598973</v>
      </c>
    </row>
    <row r="238" spans="1:3">
      <c r="A238" s="4">
        <v>214</v>
      </c>
      <c r="B238" s="4">
        <v>782212.21138964547</v>
      </c>
      <c r="C238" s="4">
        <v>22763.288610354532</v>
      </c>
    </row>
    <row r="239" spans="1:3">
      <c r="A239" s="4">
        <v>215</v>
      </c>
      <c r="B239" s="4">
        <v>790489.514598498</v>
      </c>
      <c r="C239" s="4">
        <v>-38167.794598498032</v>
      </c>
    </row>
    <row r="240" spans="1:3">
      <c r="A240" s="4">
        <v>216</v>
      </c>
      <c r="B240" s="4">
        <v>846860.80369326996</v>
      </c>
      <c r="C240" s="4">
        <v>-9952.5636932699708</v>
      </c>
    </row>
    <row r="241" spans="1:3">
      <c r="A241" s="4">
        <v>217</v>
      </c>
      <c r="B241" s="4">
        <v>638857.88253977604</v>
      </c>
      <c r="C241" s="4">
        <v>35431.217460223939</v>
      </c>
    </row>
    <row r="242" spans="1:3">
      <c r="A242" s="4">
        <v>218</v>
      </c>
      <c r="B242" s="4">
        <v>625300.23073217273</v>
      </c>
      <c r="C242" s="4">
        <v>-2407.8107321726857</v>
      </c>
    </row>
    <row r="243" spans="1:3">
      <c r="A243" s="4">
        <v>219</v>
      </c>
      <c r="B243" s="4">
        <v>605784.34773543838</v>
      </c>
      <c r="C243" s="4">
        <v>67564.212264561676</v>
      </c>
    </row>
    <row r="244" spans="1:3">
      <c r="A244" s="4">
        <v>220</v>
      </c>
      <c r="B244" s="4">
        <v>613312.41229176545</v>
      </c>
      <c r="C244" s="4">
        <v>-7034.1122917653993</v>
      </c>
    </row>
    <row r="245" spans="1:3">
      <c r="A245" s="4">
        <v>221</v>
      </c>
      <c r="B245" s="4">
        <v>706539.10748457501</v>
      </c>
      <c r="C245" s="4">
        <v>5680.7025154250441</v>
      </c>
    </row>
    <row r="246" spans="1:3">
      <c r="A246" s="4">
        <v>222</v>
      </c>
      <c r="B246" s="4">
        <v>710570.72499578341</v>
      </c>
      <c r="C246" s="4">
        <v>-37900.184995783377</v>
      </c>
    </row>
    <row r="247" spans="1:3">
      <c r="A247" s="4">
        <v>223</v>
      </c>
      <c r="B247" s="4">
        <v>727553.4677863603</v>
      </c>
      <c r="C247" s="4">
        <v>5114.4522136397427</v>
      </c>
    </row>
    <row r="248" spans="1:3">
      <c r="A248" s="4">
        <v>224</v>
      </c>
      <c r="B248" s="4">
        <v>759413.94953422819</v>
      </c>
      <c r="C248" s="4">
        <v>-35882.549534228165</v>
      </c>
    </row>
    <row r="249" spans="1:3">
      <c r="A249" s="4">
        <v>225</v>
      </c>
      <c r="B249" s="4">
        <v>614561.14337930793</v>
      </c>
      <c r="C249" s="4">
        <v>27003.456620692043</v>
      </c>
    </row>
    <row r="250" spans="1:3">
      <c r="A250" s="4">
        <v>226</v>
      </c>
      <c r="B250" s="4">
        <v>547807.54724239768</v>
      </c>
      <c r="C250" s="4">
        <v>-11262.057242397685</v>
      </c>
    </row>
    <row r="251" spans="1:3">
      <c r="A251" s="4">
        <v>227</v>
      </c>
      <c r="B251" s="4">
        <v>584555.91924721724</v>
      </c>
      <c r="C251" s="4">
        <v>-56874.359247217188</v>
      </c>
    </row>
    <row r="252" spans="1:3">
      <c r="A252" s="4">
        <v>228</v>
      </c>
      <c r="B252" s="4">
        <v>495467.87565883406</v>
      </c>
      <c r="C252" s="4">
        <v>34131.064341165882</v>
      </c>
    </row>
    <row r="253" spans="1:3">
      <c r="A253" s="4">
        <v>229</v>
      </c>
      <c r="B253" s="4">
        <v>658944.61403367261</v>
      </c>
      <c r="C253" s="4">
        <v>-87981.304033672553</v>
      </c>
    </row>
    <row r="254" spans="1:3">
      <c r="A254" s="4">
        <v>230</v>
      </c>
      <c r="B254" s="4">
        <v>766121.41937588458</v>
      </c>
      <c r="C254" s="4">
        <v>104815.98062411544</v>
      </c>
    </row>
    <row r="255" spans="1:3">
      <c r="A255" s="4">
        <v>231</v>
      </c>
      <c r="B255" s="4">
        <v>679923.29630438518</v>
      </c>
      <c r="C255" s="4">
        <v>-82954.026304385159</v>
      </c>
    </row>
    <row r="256" spans="1:3">
      <c r="A256" s="4">
        <v>232</v>
      </c>
      <c r="B256" s="4">
        <v>641105.59849735245</v>
      </c>
      <c r="C256" s="4">
        <v>6407.2515026475303</v>
      </c>
    </row>
    <row r="257" spans="1:3">
      <c r="A257" s="4">
        <v>233</v>
      </c>
      <c r="B257" s="4">
        <v>598541.70742769237</v>
      </c>
      <c r="C257" s="4">
        <v>59530.432572307647</v>
      </c>
    </row>
    <row r="258" spans="1:3">
      <c r="A258" s="4">
        <v>234</v>
      </c>
      <c r="B258" s="4">
        <v>636253.38627147325</v>
      </c>
      <c r="C258" s="4">
        <v>87051.723728526733</v>
      </c>
    </row>
    <row r="259" spans="1:3">
      <c r="A259" s="4">
        <v>235</v>
      </c>
      <c r="B259" s="4">
        <v>641890.51518095052</v>
      </c>
      <c r="C259" s="4">
        <v>-1223.9851809504908</v>
      </c>
    </row>
    <row r="260" spans="1:3">
      <c r="A260" s="4">
        <v>236</v>
      </c>
      <c r="B260" s="4">
        <v>666508.35662107239</v>
      </c>
      <c r="C260" s="4">
        <v>4121.1233789275866</v>
      </c>
    </row>
    <row r="261" spans="1:3">
      <c r="A261" s="4">
        <v>237</v>
      </c>
      <c r="B261" s="4">
        <v>799908.5148016751</v>
      </c>
      <c r="C261" s="4">
        <v>-78829.164801675128</v>
      </c>
    </row>
    <row r="262" spans="1:3">
      <c r="A262" s="4">
        <v>238</v>
      </c>
      <c r="B262" s="4">
        <v>803048.18153606751</v>
      </c>
      <c r="C262" s="4">
        <v>7306.8384639325086</v>
      </c>
    </row>
    <row r="263" spans="1:3">
      <c r="A263" s="4">
        <v>239</v>
      </c>
      <c r="B263" s="4">
        <v>792558.84040071117</v>
      </c>
      <c r="C263" s="4">
        <v>-30639.590400711168</v>
      </c>
    </row>
    <row r="264" spans="1:3">
      <c r="A264" s="4">
        <v>240</v>
      </c>
      <c r="B264" s="4">
        <v>778715.76434452669</v>
      </c>
      <c r="C264" s="4">
        <v>-41645.584344526636</v>
      </c>
    </row>
    <row r="265" spans="1:3">
      <c r="A265" s="4">
        <v>241</v>
      </c>
      <c r="B265" s="4">
        <v>733797.12322407239</v>
      </c>
      <c r="C265" s="4">
        <v>43195.80677592766</v>
      </c>
    </row>
    <row r="266" spans="1:3">
      <c r="A266" s="4">
        <v>242</v>
      </c>
      <c r="B266" s="4">
        <v>647920.10243222676</v>
      </c>
      <c r="C266" s="4">
        <v>28417.30756777327</v>
      </c>
    </row>
    <row r="267" spans="1:3">
      <c r="A267" s="4">
        <v>243</v>
      </c>
      <c r="B267" s="4">
        <v>805902.42402187875</v>
      </c>
      <c r="C267" s="4">
        <v>22317.245978121297</v>
      </c>
    </row>
    <row r="268" spans="1:3">
      <c r="A268" s="4">
        <v>244</v>
      </c>
      <c r="B268" s="4">
        <v>731977.54363936768</v>
      </c>
      <c r="C268" s="4">
        <v>31182.376360632363</v>
      </c>
    </row>
    <row r="269" spans="1:3">
      <c r="A269" s="4">
        <v>245</v>
      </c>
      <c r="B269" s="4">
        <v>765158.11253692326</v>
      </c>
      <c r="C269" s="4">
        <v>36843.56746307679</v>
      </c>
    </row>
    <row r="270" spans="1:3">
      <c r="A270" s="4">
        <v>246</v>
      </c>
      <c r="B270" s="4">
        <v>757986.82829132257</v>
      </c>
      <c r="C270" s="4">
        <v>-7515.4882913226029</v>
      </c>
    </row>
    <row r="271" spans="1:3">
      <c r="A271" s="4">
        <v>247</v>
      </c>
      <c r="B271" s="4">
        <v>709500.38406360417</v>
      </c>
      <c r="C271" s="4">
        <v>-30269.524063604185</v>
      </c>
    </row>
    <row r="272" spans="1:3">
      <c r="A272" s="4">
        <v>248</v>
      </c>
      <c r="B272" s="4">
        <v>736080.51721272129</v>
      </c>
      <c r="C272" s="4">
        <v>-56191.777212721296</v>
      </c>
    </row>
    <row r="273" spans="1:3">
      <c r="A273" s="4">
        <v>249</v>
      </c>
      <c r="B273" s="4">
        <v>584662.95334043517</v>
      </c>
      <c r="C273" s="4">
        <v>22120.716659564874</v>
      </c>
    </row>
    <row r="274" spans="1:3">
      <c r="A274" s="4">
        <v>250</v>
      </c>
      <c r="B274" s="4">
        <v>652094.43206772569</v>
      </c>
      <c r="C274" s="4">
        <v>-9343.0120677256491</v>
      </c>
    </row>
    <row r="275" spans="1:3">
      <c r="A275" s="4">
        <v>251</v>
      </c>
      <c r="B275" s="4">
        <v>671967.09537518641</v>
      </c>
      <c r="C275" s="4">
        <v>-24013.315375186387</v>
      </c>
    </row>
    <row r="276" spans="1:3">
      <c r="A276" s="4">
        <v>252</v>
      </c>
      <c r="B276" s="4">
        <v>690448.31547081424</v>
      </c>
      <c r="C276" s="4">
        <v>38992.134529185714</v>
      </c>
    </row>
    <row r="277" spans="1:3">
      <c r="A277" s="4">
        <v>253</v>
      </c>
      <c r="B277" s="4">
        <v>688378.98966860096</v>
      </c>
      <c r="C277" s="4">
        <v>76570.01033139904</v>
      </c>
    </row>
    <row r="278" spans="1:3">
      <c r="A278" s="4">
        <v>254</v>
      </c>
      <c r="B278" s="4">
        <v>691019.16396797635</v>
      </c>
      <c r="C278" s="4">
        <v>108027.7760320236</v>
      </c>
    </row>
    <row r="279" spans="1:3">
      <c r="A279" s="4">
        <v>255</v>
      </c>
      <c r="B279" s="4">
        <v>647670.35621471819</v>
      </c>
      <c r="C279" s="4">
        <v>72409.183785281843</v>
      </c>
    </row>
    <row r="280" spans="1:3">
      <c r="A280" s="4">
        <v>256</v>
      </c>
      <c r="B280" s="4">
        <v>652879.34875132376</v>
      </c>
      <c r="C280" s="4">
        <v>-40489.208751323749</v>
      </c>
    </row>
    <row r="281" spans="1:3">
      <c r="A281" s="4">
        <v>257</v>
      </c>
      <c r="B281" s="4">
        <v>737721.70664206275</v>
      </c>
      <c r="C281" s="4">
        <v>102386.41335793724</v>
      </c>
    </row>
    <row r="282" spans="1:3">
      <c r="A282" s="4">
        <v>258</v>
      </c>
      <c r="B282" s="4">
        <v>716635.99027813226</v>
      </c>
      <c r="C282" s="4">
        <v>-18747.900278132292</v>
      </c>
    </row>
    <row r="283" spans="1:3">
      <c r="A283" s="4">
        <v>259</v>
      </c>
      <c r="B283" s="4">
        <v>754454.70321513107</v>
      </c>
      <c r="C283" s="4">
        <v>-8339.1132151311031</v>
      </c>
    </row>
    <row r="284" spans="1:3">
      <c r="A284" s="4">
        <v>260</v>
      </c>
      <c r="B284" s="4">
        <v>725983.63441916415</v>
      </c>
      <c r="C284" s="4">
        <v>50126.685580835794</v>
      </c>
    </row>
    <row r="285" spans="1:3">
      <c r="A285" s="4">
        <v>261</v>
      </c>
      <c r="B285" s="4">
        <v>555121.54361228889</v>
      </c>
      <c r="C285" s="4">
        <v>-26268.923612288898</v>
      </c>
    </row>
    <row r="286" spans="1:3">
      <c r="A286" s="4">
        <v>262</v>
      </c>
      <c r="B286" s="4">
        <v>617058.60555439279</v>
      </c>
      <c r="C286" s="4">
        <v>-11307.275554392836</v>
      </c>
    </row>
    <row r="287" spans="1:3">
      <c r="A287" s="4">
        <v>263</v>
      </c>
      <c r="B287" s="4">
        <v>621304.29125203693</v>
      </c>
      <c r="C287" s="4">
        <v>56336.358747963095</v>
      </c>
    </row>
    <row r="288" spans="1:3">
      <c r="A288" s="4">
        <v>264</v>
      </c>
      <c r="B288" s="4">
        <v>589907.62390811334</v>
      </c>
      <c r="C288" s="4">
        <v>46705.606091886642</v>
      </c>
    </row>
    <row r="289" spans="1:3">
      <c r="A289" s="4">
        <v>265</v>
      </c>
      <c r="B289" s="4">
        <v>707716.48250997218</v>
      </c>
      <c r="C289" s="4">
        <v>1268.7074900277657</v>
      </c>
    </row>
    <row r="290" spans="1:3">
      <c r="A290" s="4">
        <v>266</v>
      </c>
      <c r="B290" s="4">
        <v>736437.29752344778</v>
      </c>
      <c r="C290" s="4">
        <v>31355.642476552166</v>
      </c>
    </row>
    <row r="291" spans="1:3">
      <c r="A291" s="4">
        <v>267</v>
      </c>
      <c r="B291" s="4">
        <v>730728.81255182531</v>
      </c>
      <c r="C291" s="4">
        <v>14851.697448174702</v>
      </c>
    </row>
    <row r="292" spans="1:3">
      <c r="A292" s="4">
        <v>268</v>
      </c>
      <c r="B292" s="4">
        <v>704719.52789987042</v>
      </c>
      <c r="C292" s="4">
        <v>57608.78210012964</v>
      </c>
    </row>
    <row r="293" spans="1:3">
      <c r="A293" s="4">
        <v>269</v>
      </c>
      <c r="B293" s="4">
        <v>733690.08913085447</v>
      </c>
      <c r="C293" s="4">
        <v>-73056.099130854476</v>
      </c>
    </row>
    <row r="294" spans="1:3">
      <c r="A294" s="4">
        <v>270</v>
      </c>
      <c r="B294" s="4">
        <v>732477.03607438458</v>
      </c>
      <c r="C294" s="4">
        <v>6897.5239256154746</v>
      </c>
    </row>
    <row r="295" spans="1:3">
      <c r="A295" s="4">
        <v>271</v>
      </c>
      <c r="B295" s="4">
        <v>810041.07562630507</v>
      </c>
      <c r="C295" s="4">
        <v>-10284.615626305109</v>
      </c>
    </row>
    <row r="296" spans="1:3">
      <c r="A296" s="4">
        <v>272</v>
      </c>
      <c r="B296" s="4">
        <v>712069.20230083424</v>
      </c>
      <c r="C296" s="4">
        <v>-118726.20230083424</v>
      </c>
    </row>
    <row r="297" spans="1:3">
      <c r="A297" s="4">
        <v>273</v>
      </c>
      <c r="B297" s="4">
        <v>649382.90170620498</v>
      </c>
      <c r="C297" s="4">
        <v>-4342.9317062050104</v>
      </c>
    </row>
    <row r="298" spans="1:3">
      <c r="A298" s="4">
        <v>274</v>
      </c>
      <c r="B298" s="4">
        <v>565075.71428155561</v>
      </c>
      <c r="C298" s="4">
        <v>-3478.3842815556563</v>
      </c>
    </row>
    <row r="299" spans="1:3">
      <c r="A299" s="4">
        <v>275</v>
      </c>
      <c r="B299" s="4">
        <v>652165.78812987101</v>
      </c>
      <c r="C299" s="4">
        <v>-16328.048129871022</v>
      </c>
    </row>
    <row r="300" spans="1:3">
      <c r="A300" s="4">
        <v>276</v>
      </c>
      <c r="B300" s="4">
        <v>656661.2200450236</v>
      </c>
      <c r="C300" s="4">
        <v>30076.649954976398</v>
      </c>
    </row>
    <row r="301" spans="1:3">
      <c r="A301" s="4">
        <v>277</v>
      </c>
      <c r="B301" s="4">
        <v>751957.24104004633</v>
      </c>
      <c r="C301" s="4">
        <v>-78880.901040046359</v>
      </c>
    </row>
    <row r="302" spans="1:3">
      <c r="A302" s="4">
        <v>278</v>
      </c>
      <c r="B302" s="4">
        <v>731870.50954614975</v>
      </c>
      <c r="C302" s="4">
        <v>6677.910453850287</v>
      </c>
    </row>
    <row r="303" spans="1:3">
      <c r="A303" s="4">
        <v>279</v>
      </c>
      <c r="B303" s="4">
        <v>779072.54465525306</v>
      </c>
      <c r="C303" s="4">
        <v>-22452.774655253044</v>
      </c>
    </row>
    <row r="304" spans="1:3">
      <c r="A304" s="4">
        <v>280</v>
      </c>
      <c r="B304" s="4">
        <v>771401.76797463535</v>
      </c>
      <c r="C304" s="4">
        <v>-10279.347974635311</v>
      </c>
    </row>
    <row r="305" spans="1:3">
      <c r="A305" s="4">
        <v>281</v>
      </c>
      <c r="B305" s="4">
        <v>589907.62390811334</v>
      </c>
      <c r="C305" s="4">
        <v>-65008.05390811339</v>
      </c>
    </row>
    <row r="306" spans="1:3">
      <c r="A306" s="4">
        <v>282</v>
      </c>
      <c r="B306" s="4">
        <v>601788.40825530258</v>
      </c>
      <c r="C306" s="4">
        <v>-46230.638255302561</v>
      </c>
    </row>
    <row r="307" spans="1:3">
      <c r="A307" s="4">
        <v>283</v>
      </c>
      <c r="B307" s="4">
        <v>651380.87144627282</v>
      </c>
      <c r="C307" s="4">
        <v>62702.808553727227</v>
      </c>
    </row>
    <row r="308" spans="1:3">
      <c r="A308" s="4">
        <v>284</v>
      </c>
      <c r="B308" s="4">
        <v>554407.98299083614</v>
      </c>
      <c r="C308" s="4">
        <v>-56968.162990836136</v>
      </c>
    </row>
    <row r="309" spans="1:3">
      <c r="A309" s="4">
        <v>285</v>
      </c>
      <c r="B309" s="4">
        <v>644851.79175997968</v>
      </c>
      <c r="C309" s="4">
        <v>-8076.1317599796457</v>
      </c>
    </row>
    <row r="310" spans="1:3">
      <c r="A310" s="4">
        <v>286</v>
      </c>
      <c r="B310" s="4">
        <v>606497.90835689125</v>
      </c>
      <c r="C310" s="4">
        <v>26511.621643108781</v>
      </c>
    </row>
    <row r="311" spans="1:3">
      <c r="A311" s="4">
        <v>287</v>
      </c>
      <c r="B311" s="4">
        <v>594902.54825828306</v>
      </c>
      <c r="C311" s="4">
        <v>15046.451741716941</v>
      </c>
    </row>
    <row r="312" spans="1:3">
      <c r="A312" s="4">
        <v>288</v>
      </c>
      <c r="B312" s="4">
        <v>592476.4421453434</v>
      </c>
      <c r="C312" s="4">
        <v>-44372.742145343451</v>
      </c>
    </row>
    <row r="313" spans="1:3">
      <c r="A313" s="4">
        <v>289</v>
      </c>
      <c r="B313" s="4">
        <v>749102.99855423509</v>
      </c>
      <c r="C313" s="4">
        <v>-19678.57855423505</v>
      </c>
    </row>
    <row r="314" spans="1:3">
      <c r="A314" s="4">
        <v>290</v>
      </c>
      <c r="B314" s="4">
        <v>724485.15711411322</v>
      </c>
      <c r="C314" s="4">
        <v>-28223.667114113225</v>
      </c>
    </row>
    <row r="315" spans="1:3">
      <c r="A315" s="4">
        <v>291</v>
      </c>
      <c r="B315" s="4">
        <v>742538.24083686923</v>
      </c>
      <c r="C315" s="4">
        <v>70778.469163130736</v>
      </c>
    </row>
    <row r="316" spans="1:3">
      <c r="A316" s="4">
        <v>292</v>
      </c>
      <c r="B316" s="4">
        <v>699118.07702146587</v>
      </c>
      <c r="C316" s="4">
        <v>2950.8429785341723</v>
      </c>
    </row>
    <row r="317" spans="1:3">
      <c r="A317" s="4">
        <v>293</v>
      </c>
      <c r="B317" s="4">
        <v>583200.15406645695</v>
      </c>
      <c r="C317" s="4">
        <v>-36976.454066456994</v>
      </c>
    </row>
    <row r="318" spans="1:3">
      <c r="A318" s="4">
        <v>294</v>
      </c>
      <c r="B318" s="4">
        <v>530539.38020323962</v>
      </c>
      <c r="C318" s="4">
        <v>2581.8797967603896</v>
      </c>
    </row>
    <row r="319" spans="1:3">
      <c r="A319" s="4">
        <v>295</v>
      </c>
      <c r="B319" s="4">
        <v>490330.23918437387</v>
      </c>
      <c r="C319" s="4">
        <v>8640.0808156261337</v>
      </c>
    </row>
    <row r="320" spans="1:3">
      <c r="A320" s="4">
        <v>296</v>
      </c>
      <c r="B320" s="4">
        <v>507883.83047211292</v>
      </c>
      <c r="C320" s="4">
        <v>-20145.570472112915</v>
      </c>
    </row>
    <row r="321" spans="1:3">
      <c r="A321" s="4">
        <v>297</v>
      </c>
      <c r="B321" s="4">
        <v>656768.25413824152</v>
      </c>
      <c r="C321" s="4">
        <v>11691.115861758473</v>
      </c>
    </row>
    <row r="322" spans="1:3">
      <c r="A322" s="4">
        <v>298</v>
      </c>
      <c r="B322" s="4">
        <v>657018.00035575009</v>
      </c>
      <c r="C322" s="4">
        <v>106144.44964424986</v>
      </c>
    </row>
    <row r="323" spans="1:3">
      <c r="A323" s="4">
        <v>299</v>
      </c>
      <c r="B323" s="4">
        <v>621161.5791277464</v>
      </c>
      <c r="C323" s="4">
        <v>-22144.249127746443</v>
      </c>
    </row>
    <row r="324" spans="1:3">
      <c r="A324" s="4">
        <v>300</v>
      </c>
      <c r="B324" s="4">
        <v>498571.86436215381</v>
      </c>
      <c r="C324" s="4">
        <v>-96989.28436215379</v>
      </c>
    </row>
    <row r="325" spans="1:3">
      <c r="A325" s="4">
        <v>301</v>
      </c>
      <c r="B325" s="4">
        <v>740825.69534538244</v>
      </c>
      <c r="C325" s="4">
        <v>-37012.705345382448</v>
      </c>
    </row>
    <row r="326" spans="1:3">
      <c r="A326" s="4">
        <v>302</v>
      </c>
      <c r="B326" s="4">
        <v>731442.37317327806</v>
      </c>
      <c r="C326" s="4">
        <v>-7095.6431732780766</v>
      </c>
    </row>
    <row r="327" spans="1:3">
      <c r="A327" s="4">
        <v>303</v>
      </c>
      <c r="B327" s="4">
        <v>741396.54384254478</v>
      </c>
      <c r="C327" s="4">
        <v>-10506.53384254477</v>
      </c>
    </row>
    <row r="328" spans="1:3">
      <c r="A328" s="4">
        <v>304</v>
      </c>
      <c r="B328" s="4">
        <v>738363.9112013703</v>
      </c>
      <c r="C328" s="4">
        <v>42217.038798629656</v>
      </c>
    </row>
    <row r="329" spans="1:3">
      <c r="A329" s="4">
        <v>305</v>
      </c>
      <c r="B329" s="4">
        <v>679530.8379625862</v>
      </c>
      <c r="C329" s="4">
        <v>48426.642037413782</v>
      </c>
    </row>
    <row r="330" spans="1:3">
      <c r="A330" s="4">
        <v>306</v>
      </c>
      <c r="B330" s="4">
        <v>653485.87527955859</v>
      </c>
      <c r="C330" s="4">
        <v>-115109.87527955859</v>
      </c>
    </row>
    <row r="331" spans="1:3">
      <c r="A331" s="4">
        <v>307</v>
      </c>
      <c r="B331" s="4">
        <v>671217.85672266094</v>
      </c>
      <c r="C331" s="4">
        <v>-5875.3667226609541</v>
      </c>
    </row>
    <row r="332" spans="1:3">
      <c r="A332" s="4">
        <v>308</v>
      </c>
      <c r="B332" s="4">
        <v>674714.30376777973</v>
      </c>
      <c r="C332" s="4">
        <v>-23550.123767779674</v>
      </c>
    </row>
    <row r="333" spans="1:3">
      <c r="A333" s="4">
        <v>309</v>
      </c>
      <c r="B333" s="4">
        <v>651880.36388128984</v>
      </c>
      <c r="C333" s="4">
        <v>-23342.063881289796</v>
      </c>
    </row>
    <row r="334" spans="1:3">
      <c r="A334" s="4">
        <v>310</v>
      </c>
      <c r="B334" s="4">
        <v>634968.97715285828</v>
      </c>
      <c r="C334" s="4">
        <v>-98444.137152858311</v>
      </c>
    </row>
    <row r="335" spans="1:3">
      <c r="A335" s="4">
        <v>311</v>
      </c>
      <c r="B335" s="4">
        <v>640285.00378268166</v>
      </c>
      <c r="C335" s="4">
        <v>-18607.703782681609</v>
      </c>
    </row>
    <row r="336" spans="1:3">
      <c r="A336" s="4">
        <v>312</v>
      </c>
      <c r="B336" s="4">
        <v>713246.5773262314</v>
      </c>
      <c r="C336" s="4">
        <v>57882.492673768546</v>
      </c>
    </row>
    <row r="337" spans="1:3">
      <c r="A337" s="4">
        <v>313</v>
      </c>
      <c r="B337" s="4">
        <v>666329.96646570927</v>
      </c>
      <c r="C337" s="4">
        <v>35722.503534290707</v>
      </c>
    </row>
    <row r="338" spans="1:3">
      <c r="A338" s="4">
        <v>314</v>
      </c>
      <c r="B338" s="4">
        <v>730871.52467611583</v>
      </c>
      <c r="C338" s="4">
        <v>-42503.064676115871</v>
      </c>
    </row>
    <row r="339" spans="1:3">
      <c r="A339" s="4">
        <v>315</v>
      </c>
      <c r="B339" s="4">
        <v>660478.76936979615</v>
      </c>
      <c r="C339" s="4">
        <v>51897.000630203867</v>
      </c>
    </row>
    <row r="340" spans="1:3">
      <c r="A340" s="4">
        <v>316</v>
      </c>
      <c r="B340" s="4">
        <v>802013.51863496087</v>
      </c>
      <c r="C340" s="4">
        <v>42697.151365039172</v>
      </c>
    </row>
    <row r="341" spans="1:3">
      <c r="A341" s="4">
        <v>317</v>
      </c>
      <c r="B341" s="4">
        <v>647599.00015257299</v>
      </c>
      <c r="C341" s="4">
        <v>-27334.800152573036</v>
      </c>
    </row>
    <row r="342" spans="1:3">
      <c r="A342" s="4">
        <v>318</v>
      </c>
      <c r="B342" s="4">
        <v>570070.63863172522</v>
      </c>
      <c r="C342" s="4">
        <v>-33225.218631725176</v>
      </c>
    </row>
    <row r="343" spans="1:3">
      <c r="A343" s="4">
        <v>319</v>
      </c>
      <c r="B343" s="4">
        <v>723807.27452373295</v>
      </c>
      <c r="C343" s="4">
        <v>2968.9454762670211</v>
      </c>
    </row>
    <row r="344" spans="1:3" ht="15" thickBot="1">
      <c r="A344" s="5">
        <v>320</v>
      </c>
      <c r="B344" s="5">
        <v>636110.67414718273</v>
      </c>
      <c r="C344" s="5">
        <v>-76449.834147182759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F8E2-7AEE-426F-856D-F62796DD8E2B}">
  <dimension ref="A1:I347"/>
  <sheetViews>
    <sheetView tabSelected="1" topLeftCell="A4" workbookViewId="0">
      <selection sqref="A1:I347"/>
    </sheetView>
  </sheetViews>
  <sheetFormatPr defaultRowHeight="14.5"/>
  <cols>
    <col min="1" max="1" width="11.6328125" customWidth="1"/>
    <col min="2" max="2" width="11.81640625" customWidth="1"/>
  </cols>
  <sheetData>
    <row r="1" spans="1:9">
      <c r="A1" t="s">
        <v>102</v>
      </c>
    </row>
    <row r="2" spans="1:9" ht="15" thickBot="1"/>
    <row r="3" spans="1:9">
      <c r="A3" s="7" t="s">
        <v>103</v>
      </c>
      <c r="B3" s="7"/>
    </row>
    <row r="4" spans="1:9">
      <c r="A4" s="4" t="s">
        <v>104</v>
      </c>
      <c r="B4" s="4">
        <v>0.88795449495593115</v>
      </c>
    </row>
    <row r="5" spans="1:9">
      <c r="A5" s="4" t="s">
        <v>105</v>
      </c>
      <c r="B5" s="4">
        <v>0.78846318511244284</v>
      </c>
    </row>
    <row r="6" spans="1:9">
      <c r="A6" s="4" t="s">
        <v>106</v>
      </c>
      <c r="B6" s="4">
        <v>0.78577700333609291</v>
      </c>
    </row>
    <row r="7" spans="1:9">
      <c r="A7" s="4" t="s">
        <v>107</v>
      </c>
      <c r="B7" s="4">
        <v>48029.905624289153</v>
      </c>
    </row>
    <row r="8" spans="1:9" ht="15" thickBot="1">
      <c r="A8" s="5" t="s">
        <v>108</v>
      </c>
      <c r="B8" s="5">
        <v>320</v>
      </c>
    </row>
    <row r="10" spans="1:9" ht="15" thickBot="1">
      <c r="A10" t="s">
        <v>109</v>
      </c>
    </row>
    <row r="11" spans="1:9">
      <c r="A11" s="6"/>
      <c r="B11" s="6" t="s">
        <v>114</v>
      </c>
      <c r="C11" s="6" t="s">
        <v>115</v>
      </c>
      <c r="D11" s="6" t="s">
        <v>116</v>
      </c>
      <c r="E11" s="6" t="s">
        <v>117</v>
      </c>
      <c r="F11" s="6" t="s">
        <v>118</v>
      </c>
    </row>
    <row r="12" spans="1:9">
      <c r="A12" s="4" t="s">
        <v>110</v>
      </c>
      <c r="B12" s="4">
        <v>4</v>
      </c>
      <c r="C12" s="4">
        <v>2708503988993.1309</v>
      </c>
      <c r="D12" s="4">
        <v>677125997248.28271</v>
      </c>
      <c r="E12" s="4">
        <v>293.52562512870253</v>
      </c>
      <c r="F12" s="4">
        <v>7.0118727738324091E-105</v>
      </c>
    </row>
    <row r="13" spans="1:9">
      <c r="A13" s="4" t="s">
        <v>111</v>
      </c>
      <c r="B13" s="4">
        <v>315</v>
      </c>
      <c r="C13" s="4">
        <v>726664627797.60864</v>
      </c>
      <c r="D13" s="4">
        <v>2306871834.2781229</v>
      </c>
      <c r="E13" s="4"/>
      <c r="F13" s="4"/>
    </row>
    <row r="14" spans="1:9" ht="15" thickBot="1">
      <c r="A14" s="5" t="s">
        <v>112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119</v>
      </c>
      <c r="C16" s="6" t="s">
        <v>107</v>
      </c>
      <c r="D16" s="6" t="s">
        <v>120</v>
      </c>
      <c r="E16" s="6" t="s">
        <v>121</v>
      </c>
      <c r="F16" s="6" t="s">
        <v>122</v>
      </c>
      <c r="G16" s="6" t="s">
        <v>123</v>
      </c>
      <c r="H16" s="6" t="s">
        <v>124</v>
      </c>
      <c r="I16" s="6" t="s">
        <v>125</v>
      </c>
    </row>
    <row r="17" spans="1:9">
      <c r="A17" s="4" t="s">
        <v>113</v>
      </c>
      <c r="B17" s="4">
        <v>405547.76881753415</v>
      </c>
      <c r="C17" s="4">
        <v>11186.600970937705</v>
      </c>
      <c r="D17" s="4">
        <v>36.252993189900074</v>
      </c>
      <c r="E17" s="4">
        <v>1.9650425277583442E-114</v>
      </c>
      <c r="F17" s="4">
        <v>383537.86816758156</v>
      </c>
      <c r="G17" s="4">
        <v>427557.66946748673</v>
      </c>
      <c r="H17" s="4">
        <v>383537.86816758156</v>
      </c>
      <c r="I17" s="4">
        <v>427557.66946748673</v>
      </c>
    </row>
    <row r="18" spans="1:9">
      <c r="A18" s="4" t="s">
        <v>133</v>
      </c>
      <c r="B18" s="4">
        <v>13815.997499488172</v>
      </c>
      <c r="C18" s="4">
        <v>6314.3969416855616</v>
      </c>
      <c r="D18" s="4">
        <v>2.1880153603077317</v>
      </c>
      <c r="E18" s="4">
        <v>2.9402868285450062E-2</v>
      </c>
      <c r="F18" s="4">
        <v>1392.2729282868349</v>
      </c>
      <c r="G18" s="4">
        <v>26239.72207068951</v>
      </c>
      <c r="H18" s="4">
        <v>1392.2729282868349</v>
      </c>
      <c r="I18" s="4">
        <v>26239.72207068951</v>
      </c>
    </row>
    <row r="19" spans="1:9">
      <c r="A19" s="4" t="s">
        <v>4</v>
      </c>
      <c r="B19" s="4">
        <v>1.123161362174399</v>
      </c>
      <c r="C19" s="4">
        <v>0.1390190935936873</v>
      </c>
      <c r="D19" s="4">
        <v>8.0791877801841778</v>
      </c>
      <c r="E19" s="4">
        <v>1.4046388913605215E-14</v>
      </c>
      <c r="F19" s="4">
        <v>0.84963802417452483</v>
      </c>
      <c r="G19" s="4">
        <v>1.3966847001742733</v>
      </c>
      <c r="H19" s="4">
        <v>0.84963802417452483</v>
      </c>
      <c r="I19" s="4">
        <v>1.3966847001742733</v>
      </c>
    </row>
    <row r="20" spans="1:9">
      <c r="A20" s="4" t="s">
        <v>5</v>
      </c>
      <c r="B20" s="4">
        <v>33.429642144171794</v>
      </c>
      <c r="C20" s="4">
        <v>1.1090422626129233</v>
      </c>
      <c r="D20" s="4">
        <v>30.142802732702865</v>
      </c>
      <c r="E20" s="4">
        <v>7.9056241161994143E-95</v>
      </c>
      <c r="F20" s="4">
        <v>31.247575394841508</v>
      </c>
      <c r="G20" s="4">
        <v>35.611708893502076</v>
      </c>
      <c r="H20" s="4">
        <v>31.247575394841508</v>
      </c>
      <c r="I20" s="4">
        <v>35.611708893502076</v>
      </c>
    </row>
    <row r="21" spans="1:9" ht="15" thickBot="1">
      <c r="A21" s="5" t="s">
        <v>6</v>
      </c>
      <c r="B21" s="5">
        <v>-87633.172713809457</v>
      </c>
      <c r="C21" s="5">
        <v>39550.583185210118</v>
      </c>
      <c r="D21" s="5">
        <v>-2.2157239073678121</v>
      </c>
      <c r="E21" s="5">
        <v>2.7425057592737088E-2</v>
      </c>
      <c r="F21" s="5">
        <v>-165449.8758227959</v>
      </c>
      <c r="G21" s="5">
        <v>-9816.4696048229962</v>
      </c>
      <c r="H21" s="5">
        <v>-165449.8758227959</v>
      </c>
      <c r="I21" s="5">
        <v>-9816.4696048229962</v>
      </c>
    </row>
    <row r="25" spans="1:9">
      <c r="A25" t="s">
        <v>126</v>
      </c>
    </row>
    <row r="26" spans="1:9" ht="15" thickBot="1"/>
    <row r="27" spans="1:9">
      <c r="A27" s="6" t="s">
        <v>127</v>
      </c>
      <c r="B27" s="6" t="s">
        <v>128</v>
      </c>
      <c r="C27" s="6" t="s">
        <v>129</v>
      </c>
    </row>
    <row r="28" spans="1:9">
      <c r="A28" s="4">
        <v>1</v>
      </c>
      <c r="B28" s="4">
        <v>758458.39331431198</v>
      </c>
      <c r="C28" s="4">
        <v>-99625.773314311984</v>
      </c>
    </row>
    <row r="29" spans="1:9">
      <c r="A29" s="4">
        <v>2</v>
      </c>
      <c r="B29" s="4">
        <v>723768.56131282984</v>
      </c>
      <c r="C29" s="4">
        <v>-89332.561312829843</v>
      </c>
    </row>
    <row r="30" spans="1:9">
      <c r="A30" s="4">
        <v>3</v>
      </c>
      <c r="B30" s="4">
        <v>765838.68006030878</v>
      </c>
      <c r="C30" s="4">
        <v>-87116.62006030872</v>
      </c>
    </row>
    <row r="31" spans="1:9">
      <c r="A31" s="4">
        <v>4</v>
      </c>
      <c r="B31" s="4">
        <v>772237.98335330316</v>
      </c>
      <c r="C31" s="4">
        <v>-113317.68335330312</v>
      </c>
    </row>
    <row r="32" spans="1:9">
      <c r="A32" s="4">
        <v>5</v>
      </c>
      <c r="B32" s="4">
        <v>758765.6468756228</v>
      </c>
      <c r="C32" s="4">
        <v>-17424.206875622855</v>
      </c>
    </row>
    <row r="33" spans="1:3">
      <c r="A33" s="4">
        <v>6</v>
      </c>
      <c r="B33" s="4">
        <v>795869.35625708872</v>
      </c>
      <c r="C33" s="4">
        <v>-34034.016257088748</v>
      </c>
    </row>
    <row r="34" spans="1:3">
      <c r="A34" s="4">
        <v>7</v>
      </c>
      <c r="B34" s="4">
        <v>801650.76420175564</v>
      </c>
      <c r="C34" s="4">
        <v>4964.7757982444018</v>
      </c>
    </row>
    <row r="35" spans="1:3">
      <c r="A35" s="4">
        <v>8</v>
      </c>
      <c r="B35" s="4">
        <v>757351.88468536932</v>
      </c>
      <c r="C35" s="4">
        <v>92812.375314630684</v>
      </c>
    </row>
    <row r="36" spans="1:3">
      <c r="A36" s="4">
        <v>9</v>
      </c>
      <c r="B36" s="4">
        <v>834417.30963958334</v>
      </c>
      <c r="C36" s="4">
        <v>96164.390360416612</v>
      </c>
    </row>
    <row r="37" spans="1:3">
      <c r="A37" s="4">
        <v>10</v>
      </c>
      <c r="B37" s="4">
        <v>779004.30314224469</v>
      </c>
      <c r="C37" s="4">
        <v>6.6368577552493662</v>
      </c>
    </row>
    <row r="38" spans="1:3">
      <c r="A38" s="4">
        <v>11</v>
      </c>
      <c r="B38" s="4">
        <v>732006.40394187183</v>
      </c>
      <c r="C38" s="4">
        <v>-8945.6439418718219</v>
      </c>
    </row>
    <row r="39" spans="1:3">
      <c r="A39" s="4">
        <v>12</v>
      </c>
      <c r="B39" s="4">
        <v>857139.75837240799</v>
      </c>
      <c r="C39" s="4">
        <v>53652.181627591955</v>
      </c>
    </row>
    <row r="40" spans="1:3">
      <c r="A40" s="4">
        <v>13</v>
      </c>
      <c r="B40" s="4">
        <v>903120.72551874386</v>
      </c>
      <c r="C40" s="4">
        <v>19047.87448125612</v>
      </c>
    </row>
    <row r="41" spans="1:3">
      <c r="A41" s="4">
        <v>14</v>
      </c>
      <c r="B41" s="4">
        <v>791433.92716604692</v>
      </c>
      <c r="C41" s="4">
        <v>-64827.647166046896</v>
      </c>
    </row>
    <row r="42" spans="1:3">
      <c r="A42" s="4">
        <v>15</v>
      </c>
      <c r="B42" s="4">
        <v>750212.11916999449</v>
      </c>
      <c r="C42" s="4">
        <v>-3711.0291699945228</v>
      </c>
    </row>
    <row r="43" spans="1:3">
      <c r="A43" s="4">
        <v>16</v>
      </c>
      <c r="B43" s="4">
        <v>855322.71866160096</v>
      </c>
      <c r="C43" s="4">
        <v>-21305.698661600938</v>
      </c>
    </row>
    <row r="44" spans="1:3">
      <c r="A44" s="4">
        <v>17</v>
      </c>
      <c r="B44" s="4">
        <v>695837.6017804445</v>
      </c>
      <c r="C44" s="4">
        <v>-29685.081780444481</v>
      </c>
    </row>
    <row r="45" spans="1:3">
      <c r="A45" s="4">
        <v>18</v>
      </c>
      <c r="B45" s="4">
        <v>604028.92681808514</v>
      </c>
      <c r="C45" s="4">
        <v>-30873.736818085192</v>
      </c>
    </row>
    <row r="46" spans="1:3">
      <c r="A46" s="4">
        <v>19</v>
      </c>
      <c r="B46" s="4">
        <v>679221.19513289107</v>
      </c>
      <c r="C46" s="4">
        <v>-12647.995132891112</v>
      </c>
    </row>
    <row r="47" spans="1:3">
      <c r="A47" s="4">
        <v>20</v>
      </c>
      <c r="B47" s="4">
        <v>600882.91111008404</v>
      </c>
      <c r="C47" s="4">
        <v>-9262.9611100840848</v>
      </c>
    </row>
    <row r="48" spans="1:3">
      <c r="A48" s="4">
        <v>21</v>
      </c>
      <c r="B48" s="4">
        <v>513737.95684684435</v>
      </c>
      <c r="C48" s="4">
        <v>-98016.13684684434</v>
      </c>
    </row>
    <row r="49" spans="1:3">
      <c r="A49" s="4">
        <v>22</v>
      </c>
      <c r="B49" s="4">
        <v>498675.71232705232</v>
      </c>
      <c r="C49" s="4">
        <v>-6770.5823270523106</v>
      </c>
    </row>
    <row r="50" spans="1:3">
      <c r="A50" s="4">
        <v>23</v>
      </c>
      <c r="B50" s="4">
        <v>551456.85422104783</v>
      </c>
      <c r="C50" s="4">
        <v>4472.5457789521897</v>
      </c>
    </row>
    <row r="51" spans="1:3">
      <c r="A51" s="4">
        <v>24</v>
      </c>
      <c r="B51" s="4">
        <v>543674.53553000116</v>
      </c>
      <c r="C51" s="4">
        <v>22136.454469998833</v>
      </c>
    </row>
    <row r="52" spans="1:3">
      <c r="A52" s="4">
        <v>25</v>
      </c>
      <c r="B52" s="4">
        <v>815146.9287811527</v>
      </c>
      <c r="C52" s="4">
        <v>-3375.7887811526889</v>
      </c>
    </row>
    <row r="53" spans="1:3">
      <c r="A53" s="4">
        <v>26</v>
      </c>
      <c r="B53" s="4">
        <v>899171.98786131793</v>
      </c>
      <c r="C53" s="4">
        <v>-98720.047861317988</v>
      </c>
    </row>
    <row r="54" spans="1:3">
      <c r="A54" s="4">
        <v>27</v>
      </c>
      <c r="B54" s="4">
        <v>778028.58923263615</v>
      </c>
      <c r="C54" s="4">
        <v>5644.2307673637988</v>
      </c>
    </row>
    <row r="55" spans="1:3">
      <c r="A55" s="4">
        <v>28</v>
      </c>
      <c r="B55" s="4">
        <v>709342.38797645003</v>
      </c>
      <c r="C55" s="4">
        <v>-7700.4179764500586</v>
      </c>
    </row>
    <row r="56" spans="1:3">
      <c r="A56" s="4">
        <v>29</v>
      </c>
      <c r="B56" s="4">
        <v>605048.23407718726</v>
      </c>
      <c r="C56" s="4">
        <v>-93203.824077187281</v>
      </c>
    </row>
    <row r="57" spans="1:3">
      <c r="A57" s="4">
        <v>30</v>
      </c>
      <c r="B57" s="4">
        <v>537473.51036044618</v>
      </c>
      <c r="C57" s="4">
        <v>-89.720360446139239</v>
      </c>
    </row>
    <row r="58" spans="1:3">
      <c r="A58" s="4">
        <v>31</v>
      </c>
      <c r="B58" s="4">
        <v>526742.95937659626</v>
      </c>
      <c r="C58" s="4">
        <v>-26569.939376596245</v>
      </c>
    </row>
    <row r="59" spans="1:3">
      <c r="A59" s="4">
        <v>32</v>
      </c>
      <c r="B59" s="4">
        <v>501700.60509164957</v>
      </c>
      <c r="C59" s="4">
        <v>-73783.225091649569</v>
      </c>
    </row>
    <row r="60" spans="1:3">
      <c r="A60" s="4">
        <v>33</v>
      </c>
      <c r="B60" s="4">
        <v>765603.00123930001</v>
      </c>
      <c r="C60" s="4">
        <v>-123737.97123929998</v>
      </c>
    </row>
    <row r="61" spans="1:3">
      <c r="A61" s="4">
        <v>34</v>
      </c>
      <c r="B61" s="4">
        <v>873230.87052946375</v>
      </c>
      <c r="C61" s="4">
        <v>-73753.110529463738</v>
      </c>
    </row>
    <row r="62" spans="1:3">
      <c r="A62" s="4">
        <v>35</v>
      </c>
      <c r="B62" s="4">
        <v>801585.55852745718</v>
      </c>
      <c r="C62" s="4">
        <v>-2633.3885274571367</v>
      </c>
    </row>
    <row r="63" spans="1:3">
      <c r="A63" s="4">
        <v>36</v>
      </c>
      <c r="B63" s="4">
        <v>792290.16709549888</v>
      </c>
      <c r="C63" s="4">
        <v>8689.6129045011476</v>
      </c>
    </row>
    <row r="64" spans="1:3">
      <c r="A64" s="4">
        <v>37</v>
      </c>
      <c r="B64" s="4">
        <v>791292.90141743212</v>
      </c>
      <c r="C64" s="4">
        <v>29301.028582567931</v>
      </c>
    </row>
    <row r="65" spans="1:3">
      <c r="A65" s="4">
        <v>38</v>
      </c>
      <c r="B65" s="4">
        <v>747133.63082406274</v>
      </c>
      <c r="C65" s="4">
        <v>-28803.100824062712</v>
      </c>
    </row>
    <row r="66" spans="1:3">
      <c r="A66" s="4">
        <v>39</v>
      </c>
      <c r="B66" s="4">
        <v>759689.57519707689</v>
      </c>
      <c r="C66" s="4">
        <v>-23056.175197076867</v>
      </c>
    </row>
    <row r="67" spans="1:3">
      <c r="A67" s="4">
        <v>40</v>
      </c>
      <c r="B67" s="4">
        <v>805791.83181445021</v>
      </c>
      <c r="C67" s="4">
        <v>22832.018185549765</v>
      </c>
    </row>
    <row r="68" spans="1:3">
      <c r="A68" s="4">
        <v>41</v>
      </c>
      <c r="B68" s="4">
        <v>568058.63572106161</v>
      </c>
      <c r="C68" s="4">
        <v>24137.214278938365</v>
      </c>
    </row>
    <row r="69" spans="1:3">
      <c r="A69" s="4">
        <v>42</v>
      </c>
      <c r="B69" s="4">
        <v>566514.23770775844</v>
      </c>
      <c r="C69" s="4">
        <v>-33869.777707758476</v>
      </c>
    </row>
    <row r="70" spans="1:3">
      <c r="A70" s="4">
        <v>43</v>
      </c>
      <c r="B70" s="4">
        <v>596932.38037395407</v>
      </c>
      <c r="C70" s="4">
        <v>60496.799626045977</v>
      </c>
    </row>
    <row r="71" spans="1:3">
      <c r="A71" s="4">
        <v>44</v>
      </c>
      <c r="B71" s="4">
        <v>612322.60546772368</v>
      </c>
      <c r="C71" s="4">
        <v>-7144.6054677236825</v>
      </c>
    </row>
    <row r="72" spans="1:3">
      <c r="A72" s="4">
        <v>45</v>
      </c>
      <c r="B72" s="4">
        <v>728242.4310434903</v>
      </c>
      <c r="C72" s="4">
        <v>-132774.83104349033</v>
      </c>
    </row>
    <row r="73" spans="1:3">
      <c r="A73" s="4">
        <v>46</v>
      </c>
      <c r="B73" s="4">
        <v>605517.1705318382</v>
      </c>
      <c r="C73" s="4">
        <v>-5913.7705318381777</v>
      </c>
    </row>
    <row r="74" spans="1:3">
      <c r="A74" s="4">
        <v>47</v>
      </c>
      <c r="B74" s="4">
        <v>579018.67311948212</v>
      </c>
      <c r="C74" s="4">
        <v>35781.416880517849</v>
      </c>
    </row>
    <row r="75" spans="1:3">
      <c r="A75" s="4">
        <v>48</v>
      </c>
      <c r="B75" s="4">
        <v>575435.16381580068</v>
      </c>
      <c r="C75" s="4">
        <v>9930.5661841992987</v>
      </c>
    </row>
    <row r="76" spans="1:3">
      <c r="A76" s="4">
        <v>49</v>
      </c>
      <c r="B76" s="4">
        <v>632802.97550315713</v>
      </c>
      <c r="C76" s="4">
        <v>-9991.2355031571351</v>
      </c>
    </row>
    <row r="77" spans="1:3">
      <c r="A77" s="4">
        <v>50</v>
      </c>
      <c r="B77" s="4">
        <v>641927.79237534723</v>
      </c>
      <c r="C77" s="4">
        <v>-38630.222375347279</v>
      </c>
    </row>
    <row r="78" spans="1:3">
      <c r="A78" s="4">
        <v>51</v>
      </c>
      <c r="B78" s="4">
        <v>645060.40536026971</v>
      </c>
      <c r="C78" s="4">
        <v>-19387.545360269723</v>
      </c>
    </row>
    <row r="79" spans="1:3">
      <c r="A79" s="4">
        <v>52</v>
      </c>
      <c r="B79" s="4">
        <v>728664.27029118466</v>
      </c>
      <c r="C79" s="4">
        <v>45150.869708815357</v>
      </c>
    </row>
    <row r="80" spans="1:3">
      <c r="A80" s="4">
        <v>53</v>
      </c>
      <c r="B80" s="4">
        <v>567084.39565207448</v>
      </c>
      <c r="C80" s="4">
        <v>-103550.14565207448</v>
      </c>
    </row>
    <row r="81" spans="1:3">
      <c r="A81" s="4">
        <v>54</v>
      </c>
      <c r="B81" s="4">
        <v>691562.80998667493</v>
      </c>
      <c r="C81" s="4">
        <v>55114.940013325075</v>
      </c>
    </row>
    <row r="82" spans="1:3">
      <c r="A82" s="4">
        <v>55</v>
      </c>
      <c r="B82" s="4">
        <v>671852.2069595533</v>
      </c>
      <c r="C82" s="4">
        <v>49000.293040446704</v>
      </c>
    </row>
    <row r="83" spans="1:3">
      <c r="A83" s="4">
        <v>56</v>
      </c>
      <c r="B83" s="4">
        <v>525479.72551535617</v>
      </c>
      <c r="C83" s="4">
        <v>-38014.815515356197</v>
      </c>
    </row>
    <row r="84" spans="1:3">
      <c r="A84" s="4">
        <v>57</v>
      </c>
      <c r="B84" s="4">
        <v>506793.54500456364</v>
      </c>
      <c r="C84" s="4">
        <v>11255.71499543637</v>
      </c>
    </row>
    <row r="85" spans="1:3">
      <c r="A85" s="4">
        <v>58</v>
      </c>
      <c r="B85" s="4">
        <v>552927.78954398411</v>
      </c>
      <c r="C85" s="4">
        <v>-52629.309543984127</v>
      </c>
    </row>
    <row r="86" spans="1:3">
      <c r="A86" s="4">
        <v>59</v>
      </c>
      <c r="B86" s="4">
        <v>661551.70155321271</v>
      </c>
      <c r="C86" s="4">
        <v>-44260.551553212688</v>
      </c>
    </row>
    <row r="87" spans="1:3">
      <c r="A87" s="4">
        <v>60</v>
      </c>
      <c r="B87" s="4">
        <v>603280.8358221259</v>
      </c>
      <c r="C87" s="4">
        <v>-49524.405822125846</v>
      </c>
    </row>
    <row r="88" spans="1:3">
      <c r="A88" s="4">
        <v>61</v>
      </c>
      <c r="B88" s="4">
        <v>661625.94218078617</v>
      </c>
      <c r="C88" s="4">
        <v>87933.767819213797</v>
      </c>
    </row>
    <row r="89" spans="1:3">
      <c r="A89" s="4">
        <v>62</v>
      </c>
      <c r="B89" s="4">
        <v>572251.2378928283</v>
      </c>
      <c r="C89" s="4">
        <v>43715.242107171682</v>
      </c>
    </row>
    <row r="90" spans="1:3">
      <c r="A90" s="4">
        <v>63</v>
      </c>
      <c r="B90" s="4">
        <v>580725.72020181874</v>
      </c>
      <c r="C90" s="4">
        <v>-8714.5202018187847</v>
      </c>
    </row>
    <row r="91" spans="1:3">
      <c r="A91" s="4">
        <v>64</v>
      </c>
      <c r="B91" s="4">
        <v>706305.77311166597</v>
      </c>
      <c r="C91" s="4">
        <v>55554.416888333973</v>
      </c>
    </row>
    <row r="92" spans="1:3">
      <c r="A92" s="4">
        <v>65</v>
      </c>
      <c r="B92" s="4">
        <v>781554.5559966499</v>
      </c>
      <c r="C92" s="4">
        <v>2948.1240033501526</v>
      </c>
    </row>
    <row r="93" spans="1:3">
      <c r="A93" s="4">
        <v>66</v>
      </c>
      <c r="B93" s="4">
        <v>714756.58483274002</v>
      </c>
      <c r="C93" s="4">
        <v>2384.9651672600303</v>
      </c>
    </row>
    <row r="94" spans="1:3">
      <c r="A94" s="4">
        <v>67</v>
      </c>
      <c r="B94" s="4">
        <v>807588.25352403778</v>
      </c>
      <c r="C94" s="4">
        <v>-122209.17352403782</v>
      </c>
    </row>
    <row r="95" spans="1:3">
      <c r="A95" s="4">
        <v>68</v>
      </c>
      <c r="B95" s="4">
        <v>719995.70856388402</v>
      </c>
      <c r="C95" s="4">
        <v>20500.941436116002</v>
      </c>
    </row>
    <row r="96" spans="1:3">
      <c r="A96" s="4">
        <v>69</v>
      </c>
      <c r="B96" s="4">
        <v>593045.02208047686</v>
      </c>
      <c r="C96" s="4">
        <v>68882.117919523153</v>
      </c>
    </row>
    <row r="97" spans="1:3">
      <c r="A97" s="4">
        <v>70</v>
      </c>
      <c r="B97" s="4">
        <v>524896.88331411849</v>
      </c>
      <c r="C97" s="4">
        <v>-45846.383314118488</v>
      </c>
    </row>
    <row r="98" spans="1:3">
      <c r="A98" s="4">
        <v>71</v>
      </c>
      <c r="B98" s="4">
        <v>563056.80901983683</v>
      </c>
      <c r="C98" s="4">
        <v>41967.060980163165</v>
      </c>
    </row>
    <row r="99" spans="1:3">
      <c r="A99" s="4">
        <v>72</v>
      </c>
      <c r="B99" s="4">
        <v>647619.59245636535</v>
      </c>
      <c r="C99" s="4">
        <v>27154.497543634614</v>
      </c>
    </row>
    <row r="100" spans="1:3">
      <c r="A100" s="4">
        <v>73</v>
      </c>
      <c r="B100" s="4">
        <v>631001.69693306368</v>
      </c>
      <c r="C100" s="4">
        <v>-14932.286933063646</v>
      </c>
    </row>
    <row r="101" spans="1:3">
      <c r="A101" s="4">
        <v>74</v>
      </c>
      <c r="B101" s="4">
        <v>688172.00294549181</v>
      </c>
      <c r="C101" s="4">
        <v>-57342.062945491867</v>
      </c>
    </row>
    <row r="102" spans="1:3">
      <c r="A102" s="4">
        <v>75</v>
      </c>
      <c r="B102" s="4">
        <v>696255.11516193277</v>
      </c>
      <c r="C102" s="4">
        <v>91832.564838067279</v>
      </c>
    </row>
    <row r="103" spans="1:3">
      <c r="A103" s="4">
        <v>76</v>
      </c>
      <c r="B103" s="4">
        <v>729604.95618837839</v>
      </c>
      <c r="C103" s="4">
        <v>-48764.596188378404</v>
      </c>
    </row>
    <row r="104" spans="1:3">
      <c r="A104" s="4">
        <v>77</v>
      </c>
      <c r="B104" s="4">
        <v>683482.80196683295</v>
      </c>
      <c r="C104" s="4">
        <v>-39825.331966832979</v>
      </c>
    </row>
    <row r="105" spans="1:3">
      <c r="A105" s="4">
        <v>78</v>
      </c>
      <c r="B105" s="4">
        <v>660877.80348495313</v>
      </c>
      <c r="C105" s="4">
        <v>30234.796515046852</v>
      </c>
    </row>
    <row r="106" spans="1:3">
      <c r="A106" s="4">
        <v>79</v>
      </c>
      <c r="B106" s="4">
        <v>730679.32534791948</v>
      </c>
      <c r="C106" s="4">
        <v>46242.844652080559</v>
      </c>
    </row>
    <row r="107" spans="1:3">
      <c r="A107" s="4">
        <v>80</v>
      </c>
      <c r="B107" s="4">
        <v>670779.36539640324</v>
      </c>
      <c r="C107" s="4">
        <v>-34218.025396403274</v>
      </c>
    </row>
    <row r="108" spans="1:3">
      <c r="A108" s="4">
        <v>81</v>
      </c>
      <c r="B108" s="4">
        <v>652910.99052337313</v>
      </c>
      <c r="C108" s="4">
        <v>-31541.410523373168</v>
      </c>
    </row>
    <row r="109" spans="1:3">
      <c r="A109" s="4">
        <v>82</v>
      </c>
      <c r="B109" s="4">
        <v>627929.4059601461</v>
      </c>
      <c r="C109" s="4">
        <v>54278.604039853904</v>
      </c>
    </row>
    <row r="110" spans="1:3">
      <c r="A110" s="4">
        <v>83</v>
      </c>
      <c r="B110" s="4">
        <v>648938.64420149301</v>
      </c>
      <c r="C110" s="4">
        <v>78303.215798506979</v>
      </c>
    </row>
    <row r="111" spans="1:3">
      <c r="A111" s="4">
        <v>84</v>
      </c>
      <c r="B111" s="4">
        <v>576678.9756565938</v>
      </c>
      <c r="C111" s="4">
        <v>-7578.1956565937726</v>
      </c>
    </row>
    <row r="112" spans="1:3">
      <c r="A112" s="4">
        <v>85</v>
      </c>
      <c r="B112" s="4">
        <v>561624.19510794315</v>
      </c>
      <c r="C112" s="4">
        <v>12812.094892056892</v>
      </c>
    </row>
    <row r="113" spans="1:3">
      <c r="A113" s="4">
        <v>86</v>
      </c>
      <c r="B113" s="4">
        <v>620684.24757279246</v>
      </c>
      <c r="C113" s="4">
        <v>-8917.5275727924891</v>
      </c>
    </row>
    <row r="114" spans="1:3">
      <c r="A114" s="4">
        <v>87</v>
      </c>
      <c r="B114" s="4">
        <v>614875.95467064716</v>
      </c>
      <c r="C114" s="4">
        <v>-279.63467064721044</v>
      </c>
    </row>
    <row r="115" spans="1:3">
      <c r="A115" s="4">
        <v>88</v>
      </c>
      <c r="B115" s="4">
        <v>456298.24052318902</v>
      </c>
      <c r="C115" s="4">
        <v>-5586.3205231890315</v>
      </c>
    </row>
    <row r="116" spans="1:3">
      <c r="A116" s="4">
        <v>89</v>
      </c>
      <c r="B116" s="4">
        <v>708372.00903362909</v>
      </c>
      <c r="C116" s="4">
        <v>2841.4509663708741</v>
      </c>
    </row>
    <row r="117" spans="1:3">
      <c r="A117" s="4">
        <v>90</v>
      </c>
      <c r="B117" s="4">
        <v>757717.18756922998</v>
      </c>
      <c r="C117" s="4">
        <v>-130545.28756922996</v>
      </c>
    </row>
    <row r="118" spans="1:3">
      <c r="A118" s="4">
        <v>91</v>
      </c>
      <c r="B118" s="4">
        <v>708264.86838474241</v>
      </c>
      <c r="C118" s="4">
        <v>31587.711615257547</v>
      </c>
    </row>
    <row r="119" spans="1:3">
      <c r="A119" s="4">
        <v>92</v>
      </c>
      <c r="B119" s="4">
        <v>574369.71490757947</v>
      </c>
      <c r="C119" s="4">
        <v>11937.505092420499</v>
      </c>
    </row>
    <row r="120" spans="1:3">
      <c r="A120" s="4">
        <v>93</v>
      </c>
      <c r="B120" s="4">
        <v>583046.95804281707</v>
      </c>
      <c r="C120" s="4">
        <v>2890.5219571829075</v>
      </c>
    </row>
    <row r="121" spans="1:3">
      <c r="A121" s="4">
        <v>94</v>
      </c>
      <c r="B121" s="4">
        <v>697816.77703742287</v>
      </c>
      <c r="C121" s="4">
        <v>55656.772962577175</v>
      </c>
    </row>
    <row r="122" spans="1:3">
      <c r="A122" s="4">
        <v>95</v>
      </c>
      <c r="B122" s="4">
        <v>762650.51156094763</v>
      </c>
      <c r="C122" s="4">
        <v>75599.808439052314</v>
      </c>
    </row>
    <row r="123" spans="1:3">
      <c r="A123" s="4">
        <v>96</v>
      </c>
      <c r="B123" s="4">
        <v>612255.20698581694</v>
      </c>
      <c r="C123" s="4">
        <v>-4357.0869858169463</v>
      </c>
    </row>
    <row r="124" spans="1:3">
      <c r="A124" s="4">
        <v>97</v>
      </c>
      <c r="B124" s="4">
        <v>687489.87004824646</v>
      </c>
      <c r="C124" s="4">
        <v>3623.7499517535325</v>
      </c>
    </row>
    <row r="125" spans="1:3">
      <c r="A125" s="4">
        <v>98</v>
      </c>
      <c r="B125" s="4">
        <v>665090.50749084423</v>
      </c>
      <c r="C125" s="4">
        <v>70418.89250915579</v>
      </c>
    </row>
    <row r="126" spans="1:3">
      <c r="A126" s="4">
        <v>99</v>
      </c>
      <c r="B126" s="4">
        <v>613837.39978289616</v>
      </c>
      <c r="C126" s="4">
        <v>-8062.0697828962002</v>
      </c>
    </row>
    <row r="127" spans="1:3">
      <c r="A127" s="4">
        <v>100</v>
      </c>
      <c r="B127" s="4">
        <v>641230.46337079129</v>
      </c>
      <c r="C127" s="4">
        <v>33947.216629208764</v>
      </c>
    </row>
    <row r="128" spans="1:3">
      <c r="A128" s="4">
        <v>101</v>
      </c>
      <c r="B128" s="4">
        <v>587592.29845132562</v>
      </c>
      <c r="C128" s="4">
        <v>47589.051548674353</v>
      </c>
    </row>
    <row r="129" spans="1:3">
      <c r="A129" s="4">
        <v>102</v>
      </c>
      <c r="B129" s="4">
        <v>621264.32031376695</v>
      </c>
      <c r="C129" s="4">
        <v>-34637.380313767004</v>
      </c>
    </row>
    <row r="130" spans="1:3">
      <c r="A130" s="4">
        <v>103</v>
      </c>
      <c r="B130" s="4">
        <v>732722.26190861268</v>
      </c>
      <c r="C130" s="4">
        <v>7380.3780913873343</v>
      </c>
    </row>
    <row r="131" spans="1:3">
      <c r="A131" s="4">
        <v>104</v>
      </c>
      <c r="B131" s="4">
        <v>529292.91197113926</v>
      </c>
      <c r="C131" s="4">
        <v>96221.128028860781</v>
      </c>
    </row>
    <row r="132" spans="1:3">
      <c r="A132" s="4">
        <v>105</v>
      </c>
      <c r="B132" s="4">
        <v>708084.19475620904</v>
      </c>
      <c r="C132" s="4">
        <v>19143.005243790918</v>
      </c>
    </row>
    <row r="133" spans="1:3">
      <c r="A133" s="4">
        <v>106</v>
      </c>
      <c r="B133" s="4">
        <v>776658.9143157769</v>
      </c>
      <c r="C133" s="4">
        <v>7138.9756842231145</v>
      </c>
    </row>
    <row r="134" spans="1:3">
      <c r="A134" s="4">
        <v>107</v>
      </c>
      <c r="B134" s="4">
        <v>699845.40966540086</v>
      </c>
      <c r="C134" s="4">
        <v>95308.430334599107</v>
      </c>
    </row>
    <row r="135" spans="1:3">
      <c r="A135" s="4">
        <v>108</v>
      </c>
      <c r="B135" s="4">
        <v>673528.15242721746</v>
      </c>
      <c r="C135" s="4">
        <v>-7933.2124272175133</v>
      </c>
    </row>
    <row r="136" spans="1:3">
      <c r="A136" s="4">
        <v>109</v>
      </c>
      <c r="B136" s="4">
        <v>723311.87454383587</v>
      </c>
      <c r="C136" s="4">
        <v>-13833.484543835861</v>
      </c>
    </row>
    <row r="137" spans="1:3">
      <c r="A137" s="4">
        <v>110</v>
      </c>
      <c r="B137" s="4">
        <v>655364.44370536634</v>
      </c>
      <c r="C137" s="4">
        <v>8798.0462946336484</v>
      </c>
    </row>
    <row r="138" spans="1:3">
      <c r="A138" s="4">
        <v>111</v>
      </c>
      <c r="B138" s="4">
        <v>658989.65415863448</v>
      </c>
      <c r="C138" s="4">
        <v>-25495.44415863452</v>
      </c>
    </row>
    <row r="139" spans="1:3">
      <c r="A139" s="4">
        <v>112</v>
      </c>
      <c r="B139" s="4">
        <v>609449.06988131569</v>
      </c>
      <c r="C139" s="4">
        <v>104162.09011868434</v>
      </c>
    </row>
    <row r="140" spans="1:3">
      <c r="A140" s="4">
        <v>113</v>
      </c>
      <c r="B140" s="4">
        <v>772924.75366155664</v>
      </c>
      <c r="C140" s="4">
        <v>5473.216338443337</v>
      </c>
    </row>
    <row r="141" spans="1:3">
      <c r="A141" s="4">
        <v>114</v>
      </c>
      <c r="B141" s="4">
        <v>814184.69734626531</v>
      </c>
      <c r="C141" s="4">
        <v>59195.322653734707</v>
      </c>
    </row>
    <row r="142" spans="1:3">
      <c r="A142" s="4">
        <v>115</v>
      </c>
      <c r="B142" s="4">
        <v>751562.5803804273</v>
      </c>
      <c r="C142" s="4">
        <v>-54274.680380427279</v>
      </c>
    </row>
    <row r="143" spans="1:3">
      <c r="A143" s="4">
        <v>116</v>
      </c>
      <c r="B143" s="4">
        <v>745565.08581129601</v>
      </c>
      <c r="C143" s="4">
        <v>-27490.295811295975</v>
      </c>
    </row>
    <row r="144" spans="1:3">
      <c r="A144" s="4">
        <v>117</v>
      </c>
      <c r="B144" s="4">
        <v>699416.15856065729</v>
      </c>
      <c r="C144" s="4">
        <v>15526.27143934276</v>
      </c>
    </row>
    <row r="145" spans="1:3">
      <c r="A145" s="4">
        <v>118</v>
      </c>
      <c r="B145" s="4">
        <v>738685.30854763102</v>
      </c>
      <c r="C145" s="4">
        <v>81833.731452369015</v>
      </c>
    </row>
    <row r="146" spans="1:3">
      <c r="A146" s="4">
        <v>119</v>
      </c>
      <c r="B146" s="4">
        <v>726085.08784025523</v>
      </c>
      <c r="C146" s="4">
        <v>-41867.767840255285</v>
      </c>
    </row>
    <row r="147" spans="1:3">
      <c r="A147" s="4">
        <v>120</v>
      </c>
      <c r="B147" s="4">
        <v>708241.99020091444</v>
      </c>
      <c r="C147" s="4">
        <v>27238.199799085502</v>
      </c>
    </row>
    <row r="148" spans="1:3">
      <c r="A148" s="4">
        <v>121</v>
      </c>
      <c r="B148" s="4">
        <v>575942.89796519733</v>
      </c>
      <c r="C148" s="4">
        <v>-66458.087965197337</v>
      </c>
    </row>
    <row r="149" spans="1:3">
      <c r="A149" s="4">
        <v>122</v>
      </c>
      <c r="B149" s="4">
        <v>622308.86999594711</v>
      </c>
      <c r="C149" s="4">
        <v>32008.220004052855</v>
      </c>
    </row>
    <row r="150" spans="1:3">
      <c r="A150" s="4">
        <v>123</v>
      </c>
      <c r="B150" s="4">
        <v>601717.05039872241</v>
      </c>
      <c r="C150" s="4">
        <v>-44229.790398722398</v>
      </c>
    </row>
    <row r="151" spans="1:3">
      <c r="A151" s="4">
        <v>124</v>
      </c>
      <c r="B151" s="4">
        <v>471747.26560272719</v>
      </c>
      <c r="C151" s="4">
        <v>-30471.845602727204</v>
      </c>
    </row>
    <row r="152" spans="1:3">
      <c r="A152" s="4">
        <v>125</v>
      </c>
      <c r="B152" s="4">
        <v>811424.15755800635</v>
      </c>
      <c r="C152" s="4">
        <v>103120.01244199369</v>
      </c>
    </row>
    <row r="153" spans="1:3">
      <c r="A153" s="4">
        <v>126</v>
      </c>
      <c r="B153" s="4">
        <v>810649.14828196832</v>
      </c>
      <c r="C153" s="4">
        <v>31790.521718031727</v>
      </c>
    </row>
    <row r="154" spans="1:3">
      <c r="A154" s="4">
        <v>127</v>
      </c>
      <c r="B154" s="4">
        <v>771204.71702345426</v>
      </c>
      <c r="C154" s="4">
        <v>70953.202976545785</v>
      </c>
    </row>
    <row r="155" spans="1:3">
      <c r="A155" s="4">
        <v>128</v>
      </c>
      <c r="B155" s="4">
        <v>714447.58189325896</v>
      </c>
      <c r="C155" s="4">
        <v>-17292.281893258914</v>
      </c>
    </row>
    <row r="156" spans="1:3">
      <c r="A156" s="4">
        <v>129</v>
      </c>
      <c r="B156" s="4">
        <v>822469.83409856516</v>
      </c>
      <c r="C156" s="4">
        <v>26548.465901434887</v>
      </c>
    </row>
    <row r="157" spans="1:3">
      <c r="A157" s="4">
        <v>130</v>
      </c>
      <c r="B157" s="4">
        <v>818464.70355183736</v>
      </c>
      <c r="C157" s="4">
        <v>-16634.353551837383</v>
      </c>
    </row>
    <row r="158" spans="1:3">
      <c r="A158" s="4">
        <v>131</v>
      </c>
      <c r="B158" s="4">
        <v>771472.61903311033</v>
      </c>
      <c r="C158" s="4">
        <v>-46237.3390331103</v>
      </c>
    </row>
    <row r="159" spans="1:3">
      <c r="A159" s="4">
        <v>132</v>
      </c>
      <c r="B159" s="4">
        <v>834632.60557264008</v>
      </c>
      <c r="C159" s="4">
        <v>-23179.885572640109</v>
      </c>
    </row>
    <row r="160" spans="1:3">
      <c r="A160" s="4">
        <v>133</v>
      </c>
      <c r="B160" s="4">
        <v>579282.75159120746</v>
      </c>
      <c r="C160" s="4">
        <v>-51982.621591207455</v>
      </c>
    </row>
    <row r="161" spans="1:3">
      <c r="A161" s="4">
        <v>134</v>
      </c>
      <c r="B161" s="4">
        <v>473803.05106297811</v>
      </c>
      <c r="C161" s="4">
        <v>-72971.401062978082</v>
      </c>
    </row>
    <row r="162" spans="1:3">
      <c r="A162" s="4">
        <v>135</v>
      </c>
      <c r="B162" s="4">
        <v>577684.75848566159</v>
      </c>
      <c r="C162" s="4">
        <v>15562.491514338413</v>
      </c>
    </row>
    <row r="163" spans="1:3">
      <c r="A163" s="4">
        <v>136</v>
      </c>
      <c r="B163" s="4">
        <v>534254.14492602914</v>
      </c>
      <c r="C163" s="4">
        <v>-5178.1949260291876</v>
      </c>
    </row>
    <row r="164" spans="1:3">
      <c r="A164" s="4">
        <v>137</v>
      </c>
      <c r="B164" s="4">
        <v>745139.00339727558</v>
      </c>
      <c r="C164" s="4">
        <v>-111500.97339727555</v>
      </c>
    </row>
    <row r="165" spans="1:3">
      <c r="A165" s="4">
        <v>138</v>
      </c>
      <c r="B165" s="4">
        <v>691719.71299102146</v>
      </c>
      <c r="C165" s="4">
        <v>51629.12700897851</v>
      </c>
    </row>
    <row r="166" spans="1:3">
      <c r="A166" s="4">
        <v>139</v>
      </c>
      <c r="B166" s="4">
        <v>689364.18144766276</v>
      </c>
      <c r="C166" s="4">
        <v>69463.458552337252</v>
      </c>
    </row>
    <row r="167" spans="1:3">
      <c r="A167" s="4">
        <v>140</v>
      </c>
      <c r="B167" s="4">
        <v>621510.51382433705</v>
      </c>
      <c r="C167" s="4">
        <v>25049.196175662917</v>
      </c>
    </row>
    <row r="168" spans="1:3">
      <c r="A168" s="4">
        <v>141</v>
      </c>
      <c r="B168" s="4">
        <v>657658.45349974639</v>
      </c>
      <c r="C168" s="4">
        <v>58232.076500253635</v>
      </c>
    </row>
    <row r="169" spans="1:3">
      <c r="A169" s="4">
        <v>142</v>
      </c>
      <c r="B169" s="4">
        <v>677665.79275754769</v>
      </c>
      <c r="C169" s="4">
        <v>37431.777242452255</v>
      </c>
    </row>
    <row r="170" spans="1:3">
      <c r="A170" s="4">
        <v>143</v>
      </c>
      <c r="B170" s="4">
        <v>637669.3711229359</v>
      </c>
      <c r="C170" s="4">
        <v>44969.908877064125</v>
      </c>
    </row>
    <row r="171" spans="1:3">
      <c r="A171" s="4">
        <v>144</v>
      </c>
      <c r="B171" s="4">
        <v>649532.2112372769</v>
      </c>
      <c r="C171" s="4">
        <v>45566.298762723105</v>
      </c>
    </row>
    <row r="172" spans="1:3">
      <c r="A172" s="4">
        <v>145</v>
      </c>
      <c r="B172" s="4">
        <v>614056.00228379061</v>
      </c>
      <c r="C172" s="4">
        <v>-36323.432283790666</v>
      </c>
    </row>
    <row r="173" spans="1:3">
      <c r="A173" s="4">
        <v>146</v>
      </c>
      <c r="B173" s="4">
        <v>562839.3355336393</v>
      </c>
      <c r="C173" s="4">
        <v>-25781.005533639342</v>
      </c>
    </row>
    <row r="174" spans="1:3">
      <c r="A174" s="4">
        <v>147</v>
      </c>
      <c r="B174" s="4">
        <v>594176.40781252738</v>
      </c>
      <c r="C174" s="4">
        <v>7392.4621874726145</v>
      </c>
    </row>
    <row r="175" spans="1:3">
      <c r="A175" s="4">
        <v>148</v>
      </c>
      <c r="B175" s="4">
        <v>575824.47630104714</v>
      </c>
      <c r="C175" s="4">
        <v>-4859.6363010471687</v>
      </c>
    </row>
    <row r="176" spans="1:3">
      <c r="A176" s="4">
        <v>149</v>
      </c>
      <c r="B176" s="4">
        <v>651319.38118963572</v>
      </c>
      <c r="C176" s="4">
        <v>-37294.471189635689</v>
      </c>
    </row>
    <row r="177" spans="1:3">
      <c r="A177" s="4">
        <v>150</v>
      </c>
      <c r="B177" s="4">
        <v>683160.7752237973</v>
      </c>
      <c r="C177" s="4">
        <v>29707.574776202673</v>
      </c>
    </row>
    <row r="178" spans="1:3">
      <c r="A178" s="4">
        <v>151</v>
      </c>
      <c r="B178" s="4">
        <v>649028.61871342303</v>
      </c>
      <c r="C178" s="4">
        <v>47715.531286576996</v>
      </c>
    </row>
    <row r="179" spans="1:3">
      <c r="A179" s="4">
        <v>152</v>
      </c>
      <c r="B179" s="4">
        <v>680407.5067701654</v>
      </c>
      <c r="C179" s="4">
        <v>45440.483229834586</v>
      </c>
    </row>
    <row r="180" spans="1:3">
      <c r="A180" s="4">
        <v>153</v>
      </c>
      <c r="B180" s="4">
        <v>793401.76407401636</v>
      </c>
      <c r="C180" s="4">
        <v>-8373.5140740163624</v>
      </c>
    </row>
    <row r="181" spans="1:3">
      <c r="A181" s="4">
        <v>154</v>
      </c>
      <c r="B181" s="4">
        <v>688356.7825802546</v>
      </c>
      <c r="C181" s="4">
        <v>10135.887419745442</v>
      </c>
    </row>
    <row r="182" spans="1:3">
      <c r="A182" s="4">
        <v>155</v>
      </c>
      <c r="B182" s="4">
        <v>717686.49155366304</v>
      </c>
      <c r="C182" s="4">
        <v>-31856.251553663053</v>
      </c>
    </row>
    <row r="183" spans="1:3">
      <c r="A183" s="4">
        <v>156</v>
      </c>
      <c r="B183" s="4">
        <v>694291.50361987855</v>
      </c>
      <c r="C183" s="4">
        <v>8027.4363801213913</v>
      </c>
    </row>
    <row r="184" spans="1:3">
      <c r="A184" s="4">
        <v>157</v>
      </c>
      <c r="B184" s="4">
        <v>726704.67341631535</v>
      </c>
      <c r="C184" s="4">
        <v>-26626.353416315396</v>
      </c>
    </row>
    <row r="185" spans="1:3">
      <c r="A185" s="4">
        <v>158</v>
      </c>
      <c r="B185" s="4">
        <v>636912.64616379165</v>
      </c>
      <c r="C185" s="4">
        <v>-34910.326163791702</v>
      </c>
    </row>
    <row r="186" spans="1:3">
      <c r="A186" s="4">
        <v>159</v>
      </c>
      <c r="B186" s="4">
        <v>703954.94278766587</v>
      </c>
      <c r="C186" s="4">
        <v>20261.127212334075</v>
      </c>
    </row>
    <row r="187" spans="1:3">
      <c r="A187" s="4">
        <v>160</v>
      </c>
      <c r="B187" s="4">
        <v>560152.55970213539</v>
      </c>
      <c r="C187" s="4">
        <v>60820.470297864638</v>
      </c>
    </row>
    <row r="188" spans="1:3">
      <c r="A188" s="4">
        <v>161</v>
      </c>
      <c r="B188" s="4">
        <v>685977.58260617033</v>
      </c>
      <c r="C188" s="4">
        <v>-35497.522606170271</v>
      </c>
    </row>
    <row r="189" spans="1:3">
      <c r="A189" s="4">
        <v>162</v>
      </c>
      <c r="B189" s="4">
        <v>690712.94356547517</v>
      </c>
      <c r="C189" s="4">
        <v>87585.936434524832</v>
      </c>
    </row>
    <row r="190" spans="1:3">
      <c r="A190" s="4">
        <v>163</v>
      </c>
      <c r="B190" s="4">
        <v>721523.17670576216</v>
      </c>
      <c r="C190" s="4">
        <v>-44426.466705762199</v>
      </c>
    </row>
    <row r="191" spans="1:3">
      <c r="A191" s="4">
        <v>164</v>
      </c>
      <c r="B191" s="4">
        <v>676498.26069560519</v>
      </c>
      <c r="C191" s="4">
        <v>15510.379304394824</v>
      </c>
    </row>
    <row r="192" spans="1:3">
      <c r="A192" s="4">
        <v>165</v>
      </c>
      <c r="B192" s="4">
        <v>798306.59946747276</v>
      </c>
      <c r="C192" s="4">
        <v>27491.310532527277</v>
      </c>
    </row>
    <row r="193" spans="1:3">
      <c r="A193" s="4">
        <v>166</v>
      </c>
      <c r="B193" s="4">
        <v>742049.31339560112</v>
      </c>
      <c r="C193" s="4">
        <v>-35763.793395601097</v>
      </c>
    </row>
    <row r="194" spans="1:3">
      <c r="A194" s="4">
        <v>167</v>
      </c>
      <c r="B194" s="4">
        <v>677478.94596520544</v>
      </c>
      <c r="C194" s="4">
        <v>-11944.245965205482</v>
      </c>
    </row>
    <row r="195" spans="1:3">
      <c r="A195" s="4">
        <v>168</v>
      </c>
      <c r="B195" s="4">
        <v>811989.75759671722</v>
      </c>
      <c r="C195" s="4">
        <v>8739.5324032828212</v>
      </c>
    </row>
    <row r="196" spans="1:3">
      <c r="A196" s="4">
        <v>169</v>
      </c>
      <c r="B196" s="4">
        <v>776701.59593214863</v>
      </c>
      <c r="C196" s="4">
        <v>-36869.865932148648</v>
      </c>
    </row>
    <row r="197" spans="1:3">
      <c r="A197" s="4">
        <v>170</v>
      </c>
      <c r="B197" s="4">
        <v>687013.47288620065</v>
      </c>
      <c r="C197" s="4">
        <v>-93376.332886200631</v>
      </c>
    </row>
    <row r="198" spans="1:3">
      <c r="A198" s="4">
        <v>171</v>
      </c>
      <c r="B198" s="4">
        <v>748035.99433508224</v>
      </c>
      <c r="C198" s="4">
        <v>21666.765664917766</v>
      </c>
    </row>
    <row r="199" spans="1:3">
      <c r="A199" s="4">
        <v>172</v>
      </c>
      <c r="B199" s="4">
        <v>692760.85696129722</v>
      </c>
      <c r="C199" s="4">
        <v>-13029.286961297272</v>
      </c>
    </row>
    <row r="200" spans="1:3">
      <c r="A200" s="4">
        <v>173</v>
      </c>
      <c r="B200" s="4">
        <v>757270.42776531901</v>
      </c>
      <c r="C200" s="4">
        <v>23073.752234681044</v>
      </c>
    </row>
    <row r="201" spans="1:3">
      <c r="A201" s="4">
        <v>174</v>
      </c>
      <c r="B201" s="4">
        <v>761930.23886871408</v>
      </c>
      <c r="C201" s="4">
        <v>-40566.128868714091</v>
      </c>
    </row>
    <row r="202" spans="1:3">
      <c r="A202" s="4">
        <v>175</v>
      </c>
      <c r="B202" s="4">
        <v>799493.35349349037</v>
      </c>
      <c r="C202" s="4">
        <v>-41355.063493490336</v>
      </c>
    </row>
    <row r="203" spans="1:3">
      <c r="A203" s="4">
        <v>176</v>
      </c>
      <c r="B203" s="4">
        <v>810157.7494669545</v>
      </c>
      <c r="C203" s="4">
        <v>-5893.7494669544976</v>
      </c>
    </row>
    <row r="204" spans="1:3">
      <c r="A204" s="4">
        <v>177</v>
      </c>
      <c r="B204" s="4">
        <v>890547.20347992785</v>
      </c>
      <c r="C204" s="4">
        <v>-3009.4534799278481</v>
      </c>
    </row>
    <row r="205" spans="1:3">
      <c r="A205" s="4">
        <v>178</v>
      </c>
      <c r="B205" s="4">
        <v>687975.55992433056</v>
      </c>
      <c r="C205" s="4">
        <v>95606.440075669438</v>
      </c>
    </row>
    <row r="206" spans="1:3">
      <c r="A206" s="4">
        <v>179</v>
      </c>
      <c r="B206" s="4">
        <v>744003.1814553336</v>
      </c>
      <c r="C206" s="4">
        <v>37952.338544666418</v>
      </c>
    </row>
    <row r="207" spans="1:3">
      <c r="A207" s="4">
        <v>180</v>
      </c>
      <c r="B207" s="4">
        <v>822775.60430317232</v>
      </c>
      <c r="C207" s="4">
        <v>75255.435696827713</v>
      </c>
    </row>
    <row r="208" spans="1:3">
      <c r="A208" s="4">
        <v>181</v>
      </c>
      <c r="B208" s="4">
        <v>855260.9325253492</v>
      </c>
      <c r="C208" s="4">
        <v>80.347474650829099</v>
      </c>
    </row>
    <row r="209" spans="1:3">
      <c r="A209" s="4">
        <v>182</v>
      </c>
      <c r="B209" s="4">
        <v>754429.86087069334</v>
      </c>
      <c r="C209" s="4">
        <v>-3035.98087069334</v>
      </c>
    </row>
    <row r="210" spans="1:3">
      <c r="A210" s="4">
        <v>183</v>
      </c>
      <c r="B210" s="4">
        <v>794427.5247772095</v>
      </c>
      <c r="C210" s="4">
        <v>-33350.444777209545</v>
      </c>
    </row>
    <row r="211" spans="1:3">
      <c r="A211" s="4">
        <v>184</v>
      </c>
      <c r="B211" s="4">
        <v>823567.17599539761</v>
      </c>
      <c r="C211" s="4">
        <v>-3906.5859953976469</v>
      </c>
    </row>
    <row r="212" spans="1:3">
      <c r="A212" s="4">
        <v>185</v>
      </c>
      <c r="B212" s="4">
        <v>683426.17110351415</v>
      </c>
      <c r="C212" s="4">
        <v>-1570.611103514093</v>
      </c>
    </row>
    <row r="213" spans="1:3">
      <c r="A213" s="4">
        <v>186</v>
      </c>
      <c r="B213" s="4">
        <v>631197.5992979802</v>
      </c>
      <c r="C213" s="4">
        <v>47113.570702019846</v>
      </c>
    </row>
    <row r="214" spans="1:3">
      <c r="A214" s="4">
        <v>187</v>
      </c>
      <c r="B214" s="4">
        <v>671451.28898313898</v>
      </c>
      <c r="C214" s="4">
        <v>94455.661016860977</v>
      </c>
    </row>
    <row r="215" spans="1:3">
      <c r="A215" s="4">
        <v>188</v>
      </c>
      <c r="B215" s="4">
        <v>744223.24718359788</v>
      </c>
      <c r="C215" s="4">
        <v>-31676.867183597875</v>
      </c>
    </row>
    <row r="216" spans="1:3">
      <c r="A216" s="4">
        <v>189</v>
      </c>
      <c r="B216" s="4">
        <v>603217.50816776254</v>
      </c>
      <c r="C216" s="4">
        <v>22776.321832237416</v>
      </c>
    </row>
    <row r="217" spans="1:3">
      <c r="A217" s="4">
        <v>190</v>
      </c>
      <c r="B217" s="4">
        <v>540413.98863887461</v>
      </c>
      <c r="C217" s="4">
        <v>10548.941361125442</v>
      </c>
    </row>
    <row r="218" spans="1:3">
      <c r="A218" s="4">
        <v>191</v>
      </c>
      <c r="B218" s="4">
        <v>467589.35086625174</v>
      </c>
      <c r="C218" s="4">
        <v>-24313.760866251716</v>
      </c>
    </row>
    <row r="219" spans="1:3">
      <c r="A219" s="4">
        <v>192</v>
      </c>
      <c r="B219" s="4">
        <v>598843.19549876056</v>
      </c>
      <c r="C219" s="4">
        <v>-44831.125498760608</v>
      </c>
    </row>
    <row r="220" spans="1:3">
      <c r="A220" s="4">
        <v>193</v>
      </c>
      <c r="B220" s="4">
        <v>689541.7659368437</v>
      </c>
      <c r="C220" s="4">
        <v>-46112.915936843725</v>
      </c>
    </row>
    <row r="221" spans="1:3">
      <c r="A221" s="4">
        <v>194</v>
      </c>
      <c r="B221" s="4">
        <v>621996.54284439678</v>
      </c>
      <c r="C221" s="4">
        <v>-10072.272844396764</v>
      </c>
    </row>
    <row r="222" spans="1:3">
      <c r="A222" s="4">
        <v>195</v>
      </c>
      <c r="B222" s="4">
        <v>569386.50483310653</v>
      </c>
      <c r="C222" s="4">
        <v>-9964.484833106515</v>
      </c>
    </row>
    <row r="223" spans="1:3">
      <c r="A223" s="4">
        <v>196</v>
      </c>
      <c r="B223" s="4">
        <v>537069.95207542111</v>
      </c>
      <c r="C223" s="4">
        <v>-87604.892075421114</v>
      </c>
    </row>
    <row r="224" spans="1:3">
      <c r="A224" s="4">
        <v>197</v>
      </c>
      <c r="B224" s="4">
        <v>643805.81180432043</v>
      </c>
      <c r="C224" s="4">
        <v>47641.618195679621</v>
      </c>
    </row>
    <row r="225" spans="1:3">
      <c r="A225" s="4">
        <v>198</v>
      </c>
      <c r="B225" s="4">
        <v>609789.38285978779</v>
      </c>
      <c r="C225" s="4">
        <v>-35722.772859787801</v>
      </c>
    </row>
    <row r="226" spans="1:3">
      <c r="A226" s="4">
        <v>199</v>
      </c>
      <c r="B226" s="4">
        <v>609398.39268654981</v>
      </c>
      <c r="C226" s="4">
        <v>-30448.55268654984</v>
      </c>
    </row>
    <row r="227" spans="1:3">
      <c r="A227" s="4">
        <v>200</v>
      </c>
      <c r="B227" s="4">
        <v>644308.25184272008</v>
      </c>
      <c r="C227" s="4">
        <v>91478.388157279929</v>
      </c>
    </row>
    <row r="228" spans="1:3">
      <c r="A228" s="4">
        <v>201</v>
      </c>
      <c r="B228" s="4">
        <v>618903.42839518061</v>
      </c>
      <c r="C228" s="4">
        <v>-19998.52839518059</v>
      </c>
    </row>
    <row r="229" spans="1:3">
      <c r="A229" s="4">
        <v>202</v>
      </c>
      <c r="B229" s="4">
        <v>693717.1231969021</v>
      </c>
      <c r="C229" s="4">
        <v>93998.386803097907</v>
      </c>
    </row>
    <row r="230" spans="1:3">
      <c r="A230" s="4">
        <v>203</v>
      </c>
      <c r="B230" s="4">
        <v>672813.22727663955</v>
      </c>
      <c r="C230" s="4">
        <v>-65728.307276639505</v>
      </c>
    </row>
    <row r="231" spans="1:3">
      <c r="A231" s="4">
        <v>204</v>
      </c>
      <c r="B231" s="4">
        <v>667497.10382608278</v>
      </c>
      <c r="C231" s="4">
        <v>-16701.613826082787</v>
      </c>
    </row>
    <row r="232" spans="1:3">
      <c r="A232" s="4">
        <v>205</v>
      </c>
      <c r="B232" s="4">
        <v>833440.8202704587</v>
      </c>
      <c r="C232" s="4">
        <v>-8380.3002704586834</v>
      </c>
    </row>
    <row r="233" spans="1:3">
      <c r="A233" s="4">
        <v>206</v>
      </c>
      <c r="B233" s="4">
        <v>734234.08783845254</v>
      </c>
      <c r="C233" s="4">
        <v>61230.38216154743</v>
      </c>
    </row>
    <row r="234" spans="1:3">
      <c r="A234" s="4">
        <v>207</v>
      </c>
      <c r="B234" s="4">
        <v>759295.2227329585</v>
      </c>
      <c r="C234" s="4">
        <v>-87426.632732958533</v>
      </c>
    </row>
    <row r="235" spans="1:3">
      <c r="A235" s="4">
        <v>208</v>
      </c>
      <c r="B235" s="4">
        <v>750126.47115355381</v>
      </c>
      <c r="C235" s="4">
        <v>-74208.841153553803</v>
      </c>
    </row>
    <row r="236" spans="1:3">
      <c r="A236" s="4">
        <v>209</v>
      </c>
      <c r="B236" s="4">
        <v>806795.14173419366</v>
      </c>
      <c r="C236" s="4">
        <v>3651.3882658063667</v>
      </c>
    </row>
    <row r="237" spans="1:3">
      <c r="A237" s="4">
        <v>210</v>
      </c>
      <c r="B237" s="4">
        <v>777442.72248351923</v>
      </c>
      <c r="C237" s="4">
        <v>-86154.532483519288</v>
      </c>
    </row>
    <row r="238" spans="1:3">
      <c r="A238" s="4">
        <v>211</v>
      </c>
      <c r="B238" s="4">
        <v>954513.84687895328</v>
      </c>
      <c r="C238" s="4">
        <v>-7680.3068789532408</v>
      </c>
    </row>
    <row r="239" spans="1:3">
      <c r="A239" s="4">
        <v>212</v>
      </c>
      <c r="B239" s="4">
        <v>778894.38341436104</v>
      </c>
      <c r="C239" s="4">
        <v>-16931.153414361062</v>
      </c>
    </row>
    <row r="240" spans="1:3">
      <c r="A240" s="4">
        <v>213</v>
      </c>
      <c r="B240" s="4">
        <v>772476.72757212562</v>
      </c>
      <c r="C240" s="4">
        <v>39675.872427874361</v>
      </c>
    </row>
    <row r="241" spans="1:3">
      <c r="A241" s="4">
        <v>214</v>
      </c>
      <c r="B241" s="4">
        <v>754012.5751987918</v>
      </c>
      <c r="C241" s="4">
        <v>50962.924801208195</v>
      </c>
    </row>
    <row r="242" spans="1:3">
      <c r="A242" s="4">
        <v>215</v>
      </c>
      <c r="B242" s="4">
        <v>767586.94760237006</v>
      </c>
      <c r="C242" s="4">
        <v>-15265.227602370083</v>
      </c>
    </row>
    <row r="243" spans="1:3">
      <c r="A243" s="4">
        <v>216</v>
      </c>
      <c r="B243" s="4">
        <v>821107.83705411793</v>
      </c>
      <c r="C243" s="4">
        <v>15800.402945882059</v>
      </c>
    </row>
    <row r="244" spans="1:3">
      <c r="A244" s="4">
        <v>217</v>
      </c>
      <c r="B244" s="4">
        <v>652526.38832361728</v>
      </c>
      <c r="C244" s="4">
        <v>21762.711676382693</v>
      </c>
    </row>
    <row r="245" spans="1:3">
      <c r="A245" s="4">
        <v>218</v>
      </c>
      <c r="B245" s="4">
        <v>589779.48990028526</v>
      </c>
      <c r="C245" s="4">
        <v>33112.93009971478</v>
      </c>
    </row>
    <row r="246" spans="1:3">
      <c r="A246" s="4">
        <v>219</v>
      </c>
      <c r="B246" s="4">
        <v>600835.39504275878</v>
      </c>
      <c r="C246" s="4">
        <v>72513.164957241272</v>
      </c>
    </row>
    <row r="247" spans="1:3">
      <c r="A247" s="4">
        <v>220</v>
      </c>
      <c r="B247" s="4">
        <v>568754.50505332206</v>
      </c>
      <c r="C247" s="4">
        <v>37523.794946677983</v>
      </c>
    </row>
    <row r="248" spans="1:3">
      <c r="A248" s="4">
        <v>221</v>
      </c>
      <c r="B248" s="4">
        <v>696429.41879743</v>
      </c>
      <c r="C248" s="4">
        <v>15790.391202570056</v>
      </c>
    </row>
    <row r="249" spans="1:3">
      <c r="A249" s="4">
        <v>222</v>
      </c>
      <c r="B249" s="4">
        <v>675893.08896040928</v>
      </c>
      <c r="C249" s="4">
        <v>-3222.5489604092436</v>
      </c>
    </row>
    <row r="250" spans="1:3">
      <c r="A250" s="4">
        <v>223</v>
      </c>
      <c r="B250" s="4">
        <v>734017.86315213621</v>
      </c>
      <c r="C250" s="4">
        <v>-1349.9431521361694</v>
      </c>
    </row>
    <row r="251" spans="1:3">
      <c r="A251" s="4">
        <v>224</v>
      </c>
      <c r="B251" s="4">
        <v>778357.2568074239</v>
      </c>
      <c r="C251" s="4">
        <v>-54825.856807423872</v>
      </c>
    </row>
    <row r="252" spans="1:3">
      <c r="A252" s="4">
        <v>225</v>
      </c>
      <c r="B252" s="4">
        <v>636179.7100986049</v>
      </c>
      <c r="C252" s="4">
        <v>5384.8899013950722</v>
      </c>
    </row>
    <row r="253" spans="1:3">
      <c r="A253" s="4">
        <v>226</v>
      </c>
      <c r="B253" s="4">
        <v>568829.90359537688</v>
      </c>
      <c r="C253" s="4">
        <v>-32284.413595376885</v>
      </c>
    </row>
    <row r="254" spans="1:3">
      <c r="A254" s="4">
        <v>227</v>
      </c>
      <c r="B254" s="4">
        <v>582037.65422929253</v>
      </c>
      <c r="C254" s="4">
        <v>-54356.094229292474</v>
      </c>
    </row>
    <row r="255" spans="1:3">
      <c r="A255" s="4">
        <v>228</v>
      </c>
      <c r="B255" s="4">
        <v>501366.43577479024</v>
      </c>
      <c r="C255" s="4">
        <v>28232.504225209705</v>
      </c>
    </row>
    <row r="256" spans="1:3">
      <c r="A256" s="4">
        <v>229</v>
      </c>
      <c r="B256" s="4">
        <v>640387.32481659565</v>
      </c>
      <c r="C256" s="4">
        <v>-69424.014816595591</v>
      </c>
    </row>
    <row r="257" spans="1:3">
      <c r="A257" s="4">
        <v>230</v>
      </c>
      <c r="B257" s="4">
        <v>815152.77187153546</v>
      </c>
      <c r="C257" s="4">
        <v>55784.628128464567</v>
      </c>
    </row>
    <row r="258" spans="1:3">
      <c r="A258" s="4">
        <v>231</v>
      </c>
      <c r="B258" s="4">
        <v>646794.46933321003</v>
      </c>
      <c r="C258" s="4">
        <v>-49825.19933321001</v>
      </c>
    </row>
    <row r="259" spans="1:3">
      <c r="A259" s="4">
        <v>232</v>
      </c>
      <c r="B259" s="4">
        <v>616971.19589980715</v>
      </c>
      <c r="C259" s="4">
        <v>30541.654100192827</v>
      </c>
    </row>
    <row r="260" spans="1:3">
      <c r="A260" s="4">
        <v>233</v>
      </c>
      <c r="B260" s="4">
        <v>595105.37322196376</v>
      </c>
      <c r="C260" s="4">
        <v>62966.766778036254</v>
      </c>
    </row>
    <row r="261" spans="1:3">
      <c r="A261" s="4">
        <v>234</v>
      </c>
      <c r="B261" s="4">
        <v>641628.90018026007</v>
      </c>
      <c r="C261" s="4">
        <v>81676.209819739917</v>
      </c>
    </row>
    <row r="262" spans="1:3">
      <c r="A262" s="4">
        <v>235</v>
      </c>
      <c r="B262" s="4">
        <v>654792.86764735391</v>
      </c>
      <c r="C262" s="4">
        <v>-14126.337647353881</v>
      </c>
    </row>
    <row r="263" spans="1:3">
      <c r="A263" s="4">
        <v>236</v>
      </c>
      <c r="B263" s="4">
        <v>655195.88924266677</v>
      </c>
      <c r="C263" s="4">
        <v>15433.590757333208</v>
      </c>
    </row>
    <row r="264" spans="1:3">
      <c r="A264" s="4">
        <v>237</v>
      </c>
      <c r="B264" s="4">
        <v>792202.88358194905</v>
      </c>
      <c r="C264" s="4">
        <v>-71123.533581949072</v>
      </c>
    </row>
    <row r="265" spans="1:3">
      <c r="A265" s="4">
        <v>238</v>
      </c>
      <c r="B265" s="4">
        <v>826185.39603140007</v>
      </c>
      <c r="C265" s="4">
        <v>-15830.376031400054</v>
      </c>
    </row>
    <row r="266" spans="1:3">
      <c r="A266" s="4">
        <v>239</v>
      </c>
      <c r="B266" s="4">
        <v>792417.8528923894</v>
      </c>
      <c r="C266" s="4">
        <v>-30498.602892389405</v>
      </c>
    </row>
    <row r="267" spans="1:3">
      <c r="A267" s="4">
        <v>240</v>
      </c>
      <c r="B267" s="4">
        <v>743908.53487355961</v>
      </c>
      <c r="C267" s="4">
        <v>-6838.3548735595541</v>
      </c>
    </row>
    <row r="268" spans="1:3">
      <c r="A268" s="4">
        <v>241</v>
      </c>
      <c r="B268" s="4">
        <v>728707.72875161131</v>
      </c>
      <c r="C268" s="4">
        <v>48285.201248388737</v>
      </c>
    </row>
    <row r="269" spans="1:3">
      <c r="A269" s="4">
        <v>242</v>
      </c>
      <c r="B269" s="4">
        <v>647347.12284927152</v>
      </c>
      <c r="C269" s="4">
        <v>28990.287150728516</v>
      </c>
    </row>
    <row r="270" spans="1:3">
      <c r="A270" s="4">
        <v>243</v>
      </c>
      <c r="B270" s="4">
        <v>808584.02091356728</v>
      </c>
      <c r="C270" s="4">
        <v>19635.649086432764</v>
      </c>
    </row>
    <row r="271" spans="1:3">
      <c r="A271" s="4">
        <v>244</v>
      </c>
      <c r="B271" s="4">
        <v>733259.80471333873</v>
      </c>
      <c r="C271" s="4">
        <v>29900.115286661312</v>
      </c>
    </row>
    <row r="272" spans="1:3">
      <c r="A272" s="4">
        <v>245</v>
      </c>
      <c r="B272" s="4">
        <v>783265.51138630009</v>
      </c>
      <c r="C272" s="4">
        <v>18736.168613699963</v>
      </c>
    </row>
    <row r="273" spans="1:3">
      <c r="A273" s="4">
        <v>246</v>
      </c>
      <c r="B273" s="4">
        <v>751468.84479455044</v>
      </c>
      <c r="C273" s="4">
        <v>-997.50479455047753</v>
      </c>
    </row>
    <row r="274" spans="1:3">
      <c r="A274" s="4">
        <v>247</v>
      </c>
      <c r="B274" s="4">
        <v>698113.25922040024</v>
      </c>
      <c r="C274" s="4">
        <v>-18882.399220400257</v>
      </c>
    </row>
    <row r="275" spans="1:3">
      <c r="A275" s="4">
        <v>248</v>
      </c>
      <c r="B275" s="4">
        <v>681258.90844486316</v>
      </c>
      <c r="C275" s="4">
        <v>-1370.1684448631713</v>
      </c>
    </row>
    <row r="276" spans="1:3">
      <c r="A276" s="4">
        <v>249</v>
      </c>
      <c r="B276" s="4">
        <v>567906.54116150411</v>
      </c>
      <c r="C276" s="4">
        <v>38877.128838495933</v>
      </c>
    </row>
    <row r="277" spans="1:3">
      <c r="A277" s="4">
        <v>250</v>
      </c>
      <c r="B277" s="4">
        <v>677906.21549297799</v>
      </c>
      <c r="C277" s="4">
        <v>-35154.795492977952</v>
      </c>
    </row>
    <row r="278" spans="1:3">
      <c r="A278" s="4">
        <v>251</v>
      </c>
      <c r="B278" s="4">
        <v>636052.74785655714</v>
      </c>
      <c r="C278" s="4">
        <v>11901.032143442892</v>
      </c>
    </row>
    <row r="279" spans="1:3">
      <c r="A279" s="4">
        <v>252</v>
      </c>
      <c r="B279" s="4">
        <v>736069.26041400875</v>
      </c>
      <c r="C279" s="4">
        <v>-6628.8104140087962</v>
      </c>
    </row>
    <row r="280" spans="1:3">
      <c r="A280" s="4">
        <v>253</v>
      </c>
      <c r="B280" s="4">
        <v>719762.56431993458</v>
      </c>
      <c r="C280" s="4">
        <v>45186.43568006542</v>
      </c>
    </row>
    <row r="281" spans="1:3">
      <c r="A281" s="4">
        <v>254</v>
      </c>
      <c r="B281" s="4">
        <v>699669.50985467655</v>
      </c>
      <c r="C281" s="4">
        <v>99377.430145323393</v>
      </c>
    </row>
    <row r="282" spans="1:3">
      <c r="A282" s="4">
        <v>255</v>
      </c>
      <c r="B282" s="4">
        <v>673654.69874639623</v>
      </c>
      <c r="C282" s="4">
        <v>46424.841253603809</v>
      </c>
    </row>
    <row r="283" spans="1:3">
      <c r="A283" s="4">
        <v>256</v>
      </c>
      <c r="B283" s="4">
        <v>639764.72359207424</v>
      </c>
      <c r="C283" s="4">
        <v>-27374.583592074225</v>
      </c>
    </row>
    <row r="284" spans="1:3">
      <c r="A284" s="4">
        <v>257</v>
      </c>
      <c r="B284" s="4">
        <v>761159.14248121821</v>
      </c>
      <c r="C284" s="4">
        <v>78948.977518781787</v>
      </c>
    </row>
    <row r="285" spans="1:3">
      <c r="A285" s="4">
        <v>258</v>
      </c>
      <c r="B285" s="4">
        <v>694771.21344053093</v>
      </c>
      <c r="C285" s="4">
        <v>3116.876559469034</v>
      </c>
    </row>
    <row r="286" spans="1:3">
      <c r="A286" s="4">
        <v>259</v>
      </c>
      <c r="B286" s="4">
        <v>745095.51219971455</v>
      </c>
      <c r="C286" s="4">
        <v>1020.0778002854204</v>
      </c>
    </row>
    <row r="287" spans="1:3">
      <c r="A287" s="4">
        <v>260</v>
      </c>
      <c r="B287" s="4">
        <v>723831.9577654833</v>
      </c>
      <c r="C287" s="4">
        <v>52278.362234516651</v>
      </c>
    </row>
    <row r="288" spans="1:3">
      <c r="A288" s="4">
        <v>261</v>
      </c>
      <c r="B288" s="4">
        <v>511885.00550157542</v>
      </c>
      <c r="C288" s="4">
        <v>16967.614498424577</v>
      </c>
    </row>
    <row r="289" spans="1:3">
      <c r="A289" s="4">
        <v>262</v>
      </c>
      <c r="B289" s="4">
        <v>599251.37468255183</v>
      </c>
      <c r="C289" s="4">
        <v>6499.9553174481262</v>
      </c>
    </row>
    <row r="290" spans="1:3">
      <c r="A290" s="4">
        <v>263</v>
      </c>
      <c r="B290" s="4">
        <v>619670.69157749868</v>
      </c>
      <c r="C290" s="4">
        <v>57969.958422501339</v>
      </c>
    </row>
    <row r="291" spans="1:3">
      <c r="A291" s="4">
        <v>264</v>
      </c>
      <c r="B291" s="4">
        <v>586901.77708774165</v>
      </c>
      <c r="C291" s="4">
        <v>49711.452912258334</v>
      </c>
    </row>
    <row r="292" spans="1:3">
      <c r="A292" s="4">
        <v>265</v>
      </c>
      <c r="B292" s="4">
        <v>708395.1520255981</v>
      </c>
      <c r="C292" s="4">
        <v>590.0379744018428</v>
      </c>
    </row>
    <row r="293" spans="1:3">
      <c r="A293" s="4">
        <v>266</v>
      </c>
      <c r="B293" s="4">
        <v>741308.03156918671</v>
      </c>
      <c r="C293" s="4">
        <v>26484.90843081323</v>
      </c>
    </row>
    <row r="294" spans="1:3">
      <c r="A294" s="4">
        <v>267</v>
      </c>
      <c r="B294" s="4">
        <v>720624.56515781814</v>
      </c>
      <c r="C294" s="4">
        <v>24955.944842181867</v>
      </c>
    </row>
    <row r="295" spans="1:3">
      <c r="A295" s="4">
        <v>268</v>
      </c>
      <c r="B295" s="4">
        <v>721362.97493674851</v>
      </c>
      <c r="C295" s="4">
        <v>40965.33506325155</v>
      </c>
    </row>
    <row r="296" spans="1:3">
      <c r="A296" s="4">
        <v>269</v>
      </c>
      <c r="B296" s="4">
        <v>734007.52459140925</v>
      </c>
      <c r="C296" s="4">
        <v>-73373.534591409261</v>
      </c>
    </row>
    <row r="297" spans="1:3">
      <c r="A297" s="4">
        <v>270</v>
      </c>
      <c r="B297" s="4">
        <v>702081.99630333204</v>
      </c>
      <c r="C297" s="4">
        <v>37292.563696668018</v>
      </c>
    </row>
    <row r="298" spans="1:3">
      <c r="A298" s="4">
        <v>271</v>
      </c>
      <c r="B298" s="4">
        <v>812358.03644949757</v>
      </c>
      <c r="C298" s="4">
        <v>-12601.576449497603</v>
      </c>
    </row>
    <row r="299" spans="1:3">
      <c r="A299" s="4">
        <v>272</v>
      </c>
      <c r="B299" s="4">
        <v>691512.69110300497</v>
      </c>
      <c r="C299" s="4">
        <v>-98169.691103004967</v>
      </c>
    </row>
    <row r="300" spans="1:3">
      <c r="A300" s="4">
        <v>273</v>
      </c>
      <c r="B300" s="4">
        <v>647927.85888543772</v>
      </c>
      <c r="C300" s="4">
        <v>-2887.8888854377437</v>
      </c>
    </row>
    <row r="301" spans="1:3">
      <c r="A301" s="4">
        <v>274</v>
      </c>
      <c r="B301" s="4">
        <v>523052.48320831993</v>
      </c>
      <c r="C301" s="4">
        <v>38544.846791680029</v>
      </c>
    </row>
    <row r="302" spans="1:3">
      <c r="A302" s="4">
        <v>275</v>
      </c>
      <c r="B302" s="4">
        <v>639497.42773977865</v>
      </c>
      <c r="C302" s="4">
        <v>-3659.6877397786593</v>
      </c>
    </row>
    <row r="303" spans="1:3">
      <c r="A303" s="4">
        <v>276</v>
      </c>
      <c r="B303" s="4">
        <v>623917.61843361065</v>
      </c>
      <c r="C303" s="4">
        <v>62820.251566389343</v>
      </c>
    </row>
    <row r="304" spans="1:3">
      <c r="A304" s="4">
        <v>277</v>
      </c>
      <c r="B304" s="4">
        <v>749840.43683575909</v>
      </c>
      <c r="C304" s="4">
        <v>-76764.096835759119</v>
      </c>
    </row>
    <row r="305" spans="1:3">
      <c r="A305" s="4">
        <v>278</v>
      </c>
      <c r="B305" s="4">
        <v>714386.98554790963</v>
      </c>
      <c r="C305" s="4">
        <v>24161.434452090412</v>
      </c>
    </row>
    <row r="306" spans="1:3">
      <c r="A306" s="4">
        <v>279</v>
      </c>
      <c r="B306" s="4">
        <v>753176.0975318444</v>
      </c>
      <c r="C306" s="4">
        <v>3443.6724681556225</v>
      </c>
    </row>
    <row r="307" spans="1:3">
      <c r="A307" s="4">
        <v>280</v>
      </c>
      <c r="B307" s="4">
        <v>788648.18698668701</v>
      </c>
      <c r="C307" s="4">
        <v>-27525.766986686969</v>
      </c>
    </row>
    <row r="308" spans="1:3">
      <c r="A308" s="4">
        <v>281</v>
      </c>
      <c r="B308" s="4">
        <v>585553.57161536347</v>
      </c>
      <c r="C308" s="4">
        <v>-60654.001615363522</v>
      </c>
    </row>
    <row r="309" spans="1:3">
      <c r="A309" s="4">
        <v>282</v>
      </c>
      <c r="B309" s="4">
        <v>585718.3042931183</v>
      </c>
      <c r="C309" s="4">
        <v>-30160.534293118282</v>
      </c>
    </row>
    <row r="310" spans="1:3">
      <c r="A310" s="4">
        <v>283</v>
      </c>
      <c r="B310" s="4">
        <v>665712.41293166974</v>
      </c>
      <c r="C310" s="4">
        <v>48371.267068330315</v>
      </c>
    </row>
    <row r="311" spans="1:3">
      <c r="A311" s="4">
        <v>284</v>
      </c>
      <c r="B311" s="4">
        <v>516937.96255582507</v>
      </c>
      <c r="C311" s="4">
        <v>-19498.142555825063</v>
      </c>
    </row>
    <row r="312" spans="1:3">
      <c r="A312" s="4">
        <v>285</v>
      </c>
      <c r="B312" s="4">
        <v>658290.02751841687</v>
      </c>
      <c r="C312" s="4">
        <v>-21514.367518416839</v>
      </c>
    </row>
    <row r="313" spans="1:3">
      <c r="A313" s="4">
        <v>286</v>
      </c>
      <c r="B313" s="4">
        <v>626997.4109562079</v>
      </c>
      <c r="C313" s="4">
        <v>6012.1190437921323</v>
      </c>
    </row>
    <row r="314" spans="1:3">
      <c r="A314" s="4">
        <v>287</v>
      </c>
      <c r="B314" s="4">
        <v>590836.7260664301</v>
      </c>
      <c r="C314" s="4">
        <v>19112.273933569901</v>
      </c>
    </row>
    <row r="315" spans="1:3">
      <c r="A315" s="4">
        <v>288</v>
      </c>
      <c r="B315" s="4">
        <v>573130.0749159843</v>
      </c>
      <c r="C315" s="4">
        <v>-25026.374915984343</v>
      </c>
    </row>
    <row r="316" spans="1:3">
      <c r="A316" s="4">
        <v>289</v>
      </c>
      <c r="B316" s="4">
        <v>743876.23040253017</v>
      </c>
      <c r="C316" s="4">
        <v>-14451.810402530129</v>
      </c>
    </row>
    <row r="317" spans="1:3">
      <c r="A317" s="4">
        <v>290</v>
      </c>
      <c r="B317" s="4">
        <v>718606.79696651699</v>
      </c>
      <c r="C317" s="4">
        <v>-22345.306966517004</v>
      </c>
    </row>
    <row r="318" spans="1:3">
      <c r="A318" s="4">
        <v>291</v>
      </c>
      <c r="B318" s="4">
        <v>743934.68024141574</v>
      </c>
      <c r="C318" s="4">
        <v>69382.02975858422</v>
      </c>
    </row>
    <row r="319" spans="1:3">
      <c r="A319" s="4">
        <v>292</v>
      </c>
      <c r="B319" s="4">
        <v>703071.51266793406</v>
      </c>
      <c r="C319" s="4">
        <v>-1002.5926679340191</v>
      </c>
    </row>
    <row r="320" spans="1:3">
      <c r="A320" s="4">
        <v>293</v>
      </c>
      <c r="B320" s="4">
        <v>583704.48981701909</v>
      </c>
      <c r="C320" s="4">
        <v>-37480.789817019133</v>
      </c>
    </row>
    <row r="321" spans="1:3">
      <c r="A321" s="4">
        <v>294</v>
      </c>
      <c r="B321" s="4">
        <v>518988.52276846435</v>
      </c>
      <c r="C321" s="4">
        <v>14132.737231535662</v>
      </c>
    </row>
    <row r="322" spans="1:3">
      <c r="A322" s="4">
        <v>295</v>
      </c>
      <c r="B322" s="4">
        <v>495139.86064063257</v>
      </c>
      <c r="C322" s="4">
        <v>3830.4593593674363</v>
      </c>
    </row>
    <row r="323" spans="1:3">
      <c r="A323" s="4">
        <v>296</v>
      </c>
      <c r="B323" s="4">
        <v>478934.45918391639</v>
      </c>
      <c r="C323" s="4">
        <v>8803.800816083618</v>
      </c>
    </row>
    <row r="324" spans="1:3">
      <c r="A324" s="4">
        <v>297</v>
      </c>
      <c r="B324" s="4">
        <v>661941.42222777114</v>
      </c>
      <c r="C324" s="4">
        <v>6517.9477722288575</v>
      </c>
    </row>
    <row r="325" spans="1:3">
      <c r="A325" s="4">
        <v>298</v>
      </c>
      <c r="B325" s="4">
        <v>656254.67079555173</v>
      </c>
      <c r="C325" s="4">
        <v>106907.77920444822</v>
      </c>
    </row>
    <row r="326" spans="1:3">
      <c r="A326" s="4">
        <v>299</v>
      </c>
      <c r="B326" s="4">
        <v>611157.61330030754</v>
      </c>
      <c r="C326" s="4">
        <v>-12140.283300307579</v>
      </c>
    </row>
    <row r="327" spans="1:3">
      <c r="A327" s="4">
        <v>300</v>
      </c>
      <c r="B327" s="4">
        <v>471532.38222822518</v>
      </c>
      <c r="C327" s="4">
        <v>-69949.802228225162</v>
      </c>
    </row>
    <row r="328" spans="1:3">
      <c r="A328" s="4">
        <v>301</v>
      </c>
      <c r="B328" s="4">
        <v>728522.78834449616</v>
      </c>
      <c r="C328" s="4">
        <v>-24709.798344496172</v>
      </c>
    </row>
    <row r="329" spans="1:3">
      <c r="A329" s="4">
        <v>302</v>
      </c>
      <c r="B329" s="4">
        <v>751816.02624421485</v>
      </c>
      <c r="C329" s="4">
        <v>-27469.296244214871</v>
      </c>
    </row>
    <row r="330" spans="1:3">
      <c r="A330" s="4">
        <v>303</v>
      </c>
      <c r="B330" s="4">
        <v>743018.72796293243</v>
      </c>
      <c r="C330" s="4">
        <v>-12128.717962932424</v>
      </c>
    </row>
    <row r="331" spans="1:3">
      <c r="A331" s="4">
        <v>304</v>
      </c>
      <c r="B331" s="4">
        <v>711505.23468128068</v>
      </c>
      <c r="C331" s="4">
        <v>69075.715318719274</v>
      </c>
    </row>
    <row r="332" spans="1:3">
      <c r="A332" s="4">
        <v>305</v>
      </c>
      <c r="B332" s="4">
        <v>669655.67297291174</v>
      </c>
      <c r="C332" s="4">
        <v>58301.807027088245</v>
      </c>
    </row>
    <row r="333" spans="1:3">
      <c r="A333" s="4">
        <v>306</v>
      </c>
      <c r="B333" s="4">
        <v>647284.32648238493</v>
      </c>
      <c r="C333" s="4">
        <v>-108908.32648238493</v>
      </c>
    </row>
    <row r="334" spans="1:3">
      <c r="A334" s="4">
        <v>307</v>
      </c>
      <c r="B334" s="4">
        <v>628538.00618869695</v>
      </c>
      <c r="C334" s="4">
        <v>36804.483811303042</v>
      </c>
    </row>
    <row r="335" spans="1:3">
      <c r="A335" s="4">
        <v>308</v>
      </c>
      <c r="B335" s="4">
        <v>681049.54120481305</v>
      </c>
      <c r="C335" s="4">
        <v>-29885.361204813002</v>
      </c>
    </row>
    <row r="336" spans="1:3">
      <c r="A336" s="4">
        <v>309</v>
      </c>
      <c r="B336" s="4">
        <v>639008.25864249235</v>
      </c>
      <c r="C336" s="4">
        <v>-10469.958642492304</v>
      </c>
    </row>
    <row r="337" spans="1:3">
      <c r="A337" s="4">
        <v>310</v>
      </c>
      <c r="B337" s="4">
        <v>594210.28511385119</v>
      </c>
      <c r="C337" s="4">
        <v>-57685.445113851223</v>
      </c>
    </row>
    <row r="338" spans="1:3">
      <c r="A338" s="4">
        <v>311</v>
      </c>
      <c r="B338" s="4">
        <v>630691.23697392002</v>
      </c>
      <c r="C338" s="4">
        <v>-9013.9369739199756</v>
      </c>
    </row>
    <row r="339" spans="1:3">
      <c r="A339" s="4">
        <v>312</v>
      </c>
      <c r="B339" s="4">
        <v>739745.88266443892</v>
      </c>
      <c r="C339" s="4">
        <v>31383.18733556103</v>
      </c>
    </row>
    <row r="340" spans="1:3">
      <c r="A340" s="4">
        <v>313</v>
      </c>
      <c r="B340" s="4">
        <v>698461.05369795323</v>
      </c>
      <c r="C340" s="4">
        <v>3591.4163020467386</v>
      </c>
    </row>
    <row r="341" spans="1:3">
      <c r="A341" s="4">
        <v>314</v>
      </c>
      <c r="B341" s="4">
        <v>708573.43438094738</v>
      </c>
      <c r="C341" s="4">
        <v>-20204.974380947417</v>
      </c>
    </row>
    <row r="342" spans="1:3">
      <c r="A342" s="4">
        <v>315</v>
      </c>
      <c r="B342" s="4">
        <v>668356.62993686134</v>
      </c>
      <c r="C342" s="4">
        <v>44019.140063138679</v>
      </c>
    </row>
    <row r="343" spans="1:3">
      <c r="A343" s="4">
        <v>316</v>
      </c>
      <c r="B343" s="4">
        <v>803917.75538524624</v>
      </c>
      <c r="C343" s="4">
        <v>40792.914614753798</v>
      </c>
    </row>
    <row r="344" spans="1:3">
      <c r="A344" s="4">
        <v>317</v>
      </c>
      <c r="B344" s="4">
        <v>664859.59282958135</v>
      </c>
      <c r="C344" s="4">
        <v>-44595.392829581397</v>
      </c>
    </row>
    <row r="345" spans="1:3">
      <c r="A345" s="4">
        <v>318</v>
      </c>
      <c r="B345" s="4">
        <v>548469.68677097221</v>
      </c>
      <c r="C345" s="4">
        <v>-11624.266770972172</v>
      </c>
    </row>
    <row r="346" spans="1:3">
      <c r="A346" s="4">
        <v>319</v>
      </c>
      <c r="B346" s="4">
        <v>738611.91767339851</v>
      </c>
      <c r="C346" s="4">
        <v>-11835.697673398536</v>
      </c>
    </row>
    <row r="347" spans="1:3" ht="15" thickBot="1">
      <c r="A347" s="5">
        <v>320</v>
      </c>
      <c r="B347" s="5">
        <v>614381.38886832527</v>
      </c>
      <c r="C347" s="5">
        <v>-54720.548868325306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Cleaned_Data</vt:lpstr>
      <vt:lpstr>Simple_Reg1(Marketing spend)</vt:lpstr>
      <vt:lpstr>Simple_Reg2(Football)</vt:lpstr>
      <vt:lpstr>Multiple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 K</dc:creator>
  <cp:lastModifiedBy>KRISHNA T K</cp:lastModifiedBy>
  <dcterms:created xsi:type="dcterms:W3CDTF">2026-06-27T09:03:01Z</dcterms:created>
  <dcterms:modified xsi:type="dcterms:W3CDTF">2026-06-27T12:17:33Z</dcterms:modified>
</cp:coreProperties>
</file>